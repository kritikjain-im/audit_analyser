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Gemini Metrics" sheetId="2" state="visible" r:id="rId2"/>
    <sheet name="GPT5 Nano Metrics" sheetId="3" state="visible" r:id="rId3"/>
    <sheet name="GPT5 Mini Metrics" sheetId="4" state="visible" r:id="rId4"/>
    <sheet name="Gemma Metrics" sheetId="5" state="visible" r:id="rId5"/>
  </sheets>
  <definedNames/>
  <calcPr calcId="124519" fullCalcOnLoad="1"/>
</workbook>
</file>

<file path=xl/styles.xml><?xml version="1.0" encoding="utf-8"?>
<styleSheet xmlns="http://schemas.openxmlformats.org/spreadsheetml/2006/main">
  <numFmts count="2">
    <numFmt numFmtId="164" formatCode="0.00000000"/>
    <numFmt numFmtId="165" formatCode="0.000"/>
  </numFmts>
  <fonts count="3">
    <font>
      <name val="Calibri"/>
      <family val="2"/>
      <color theme="1"/>
      <sz val="11"/>
      <scheme val="minor"/>
    </font>
    <font>
      <name val="Calibri"/>
      <b val="1"/>
      <color rgb="00000000"/>
      <sz val="11"/>
    </font>
    <font>
      <name val="Calibri"/>
      <b val="1"/>
      <sz val="11"/>
    </font>
  </fonts>
  <fills count="3">
    <fill>
      <patternFill/>
    </fill>
    <fill>
      <patternFill patternType="gray125"/>
    </fill>
    <fill>
      <patternFill patternType="solid">
        <fgColor rgb="00F2F2F2"/>
        <b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3" fontId="0" fillId="0" borderId="0" pivotButton="0" quotePrefix="0" xfId="0"/>
    <xf numFmtId="164" fontId="0" fillId="0" borderId="0" pivotButton="0" quotePrefix="0" xfId="0"/>
    <xf numFmtId="165" fontId="0" fillId="0" borderId="0" pivotButton="0" quotePrefix="0" xfId="0"/>
    <xf numFmtId="0" fontId="2" fillId="0" borderId="0" pivotButton="0" quotePrefix="0" xfId="0"/>
    <xf numFmtId="3" fontId="2" fillId="0" borderId="0" pivotButton="0" quotePrefix="0" xfId="0"/>
    <xf numFmtId="164" fontId="2"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03" customWidth="1" min="3" max="3"/>
    <col width="103" customWidth="1" min="4" max="4"/>
    <col width="103" customWidth="1" min="5" max="5"/>
    <col width="103" customWidth="1" min="6" max="6"/>
    <col width="103" customWidth="1" min="7" max="7"/>
    <col width="103" customWidth="1" min="8" max="8"/>
    <col width="103" customWidth="1" min="9" max="9"/>
    <col width="103" customWidth="1" min="10" max="10"/>
  </cols>
  <sheetData>
    <row r="1">
      <c r="A1" s="1" t="inlineStr">
        <is>
          <t>Seller Glid</t>
        </is>
      </c>
      <c r="B1" s="1" t="inlineStr">
        <is>
          <t>Buyer Glid</t>
        </is>
      </c>
      <c r="C1" s="1" t="inlineStr">
        <is>
          <t>User Details</t>
        </is>
      </c>
      <c r="D1" s="1" t="inlineStr">
        <is>
          <t>Product Details</t>
        </is>
      </c>
      <c r="E1" s="1" t="inlineStr">
        <is>
          <t>Past Conversation</t>
        </is>
      </c>
      <c r="F1" s="1" t="inlineStr">
        <is>
          <t>Ongoing Conversation</t>
        </is>
      </c>
      <c r="G1" s="1" t="inlineStr">
        <is>
          <t>Existing MagicPen Response (Gemini 2.5 Flash Lite)</t>
        </is>
      </c>
      <c r="H1" s="1" t="inlineStr">
        <is>
          <t>Prompt Version 2 (GPT-5.4 Nano)</t>
        </is>
      </c>
      <c r="I1" s="1" t="inlineStr">
        <is>
          <t>Prompt Version 2 (GPT-5.4 Mini)</t>
        </is>
      </c>
      <c r="J1" s="1" t="inlineStr">
        <is>
          <t>New Prompt Version 2 (Gemma 4 26B)</t>
        </is>
      </c>
    </row>
    <row r="2">
      <c r="A2" t="n">
        <v>77412283</v>
      </c>
      <c r="B2" t="n">
        <v>200446851</v>
      </c>
      <c r="C2" t="inlineStr">
        <is>
          <t>------------Medicine Planet Details:------Name=Aman City=New Delhi State=Delhi Phone=08047656025 Company=Medicine Planet Company URL=https://www.indiamart.com/medicine-planet/</t>
        </is>
      </c>
      <c r="D2" t="inlineStr">
        <is>
          <t>------Aman deals in Stelara 90 Mg which has the following product details:------
 Name=USTEKIREL 90mg USTEKINUMAB
 Price=INR 62800 per Vial
 Description=&lt;p&gt;Ustekirel 90mg Injection contains the active substance Ustekinumab. It is a monoclonal antibody that belongs to the group of medications called interleukin inhibitors. Monoclonal antibodies are specific proteins that identify and bind to certain proteins in the body. It treats moderate to severe plaque psoriasis (skin disease with red and scaly patches on some body areas). It is used alone or in combination with other medicines to treat active psoriatic arthritis (a condition that causes joint pain, swelling, and scales on the skin) in adults.&amp;nbsp;&lt;/p&gt;
 &lt;p&gt;Ustekirel 90mg Injection is also indicated to treat moderate to severe Crohn&amp;rsquo;s disease and ulcerative colitis in adults. Both are inflammatory bowel diseases. Crohn&amp;rsquo;s disease is a condition in which the body attacks the lining of the digestive tract, causing abdominal pain, diarrhoea, weight loss, and fever. Ulcerative colitis is a condition that causes swelling and sores in the lining of the colon (large intestine) and rectum. Do not use this medicine if you are pregnant or breastfeeding.&amp;nbsp;&amp;nbsp;&lt;/p&gt;
 &lt;p&gt;Do not take Ustekirel 90mg Injection if you are allergic to Ustekinumab or any of the other ingredients of this medicine. Do not take this medicine if you have any active infections. Inform your doctor if you recently had tuberculosis, skin diseases, allergies, or other diseases. Tell your doctor if you are taking other treatments for psoriasis or psoriatic arthritis. This medicine is not recommended for use in children under 18 years of age with Crohn&amp;rsquo;s disease or ulcerative colitis.&lt;/p&gt;
 Uses of Ustekirel 90mg Injection
 &lt;ul&gt;
 &lt;li&gt;Plaque psoriasis&lt;/li&gt;
 &lt;li&gt;Psoriatic arthritis&lt;/li&gt;
 &lt;li&gt;Crohn&amp;rsquo;s disease&lt;/li&gt;
 &lt;li&gt;Ulcerative colitis&lt;/li&gt;
 &lt;/ul&gt;
 Therapeutic Effects of Ustekirel 90mg Injection
 &lt;p&gt;Ustekirel 90mg Injection is a monoclonal antibody that binds specifically to certain signalling proteins (interleukin-12 and interleukin-23) in the body, which is involved in inflammatory and immune responses. It works by targeting, neutralising, and stopping the action of certain cells in the body that cause the symptoms of certain diseases.&lt;/p&gt;
 Interaction of Ustekirel 90mg Injection with other drugs
 &lt;p&gt;Inform your healthcare provider about all the medicines that you take, including prescription, over-the-counter, recent vaccinations, nutritional and vitamin supplements, and herbal products. Certain medications may interact with Ustekirel 90mg Injection and reduce its effectiveness by causing undesirable side effects.&lt;/p&gt;
 More Information about Ustekirel 90mg Injection
 &lt;ul&gt;
 &lt;li&gt;Store Ustekirel 90mg Injection in the refrigerator (2&amp;deg;C to 8&amp;deg;C)&lt;/li&gt;
 &lt;li&gt;Do not freeze&lt;/li&gt;
 &lt;li&gt;keep the injection away from the reach of children and pets.&lt;/li&gt;
 &lt;li&gt;Do not shake the vials because prolonged shaking may damage the effectiveness of the medicine.&lt;/li&gt;
 &lt;/ul&gt;
 How to consume Ustekirel 90mg Injection
 &lt;p&gt;It will be given to you by a doctor or nurse in a hospital or clinic setting. It is given as an intravenous infusion (into your vein). Do not self-administer the injection. Your doctor will decide the dose and duration of the treatment based on your disease severity, body weight, and other factors.&lt;/p&gt;
 Pack Size=1 vial
 Shelf Life=24 months
 Storage Condition=2â€“8Â°C
 Strength=90 mg
 Usage/Application=Crohnâ€™s disease
 Brand=Other branded
 Composition=Ustekinumab 90 mg
 Dosage Form=Vial</t>
        </is>
      </c>
      <c r="E2" t="inlineStr">
        <is>
          <t>------Aman replying pattern: Whenever Aman receives an order inquiry for the product Stelara 90 Mg from any buyer, mentioned are the 4 different chat conversation between Aman &amp; buyer. Use this to detect the seller replying pattern.------
 Conversation 1:
 Seller=We hope you had an amazing experience with us. Don't forget to provide a quick review.
 Seller=Hi Surya,
 Thanks for your Enquiry to Medicine Planet, New Delhi.
 Please find my catalog : https://www.indiamart.com/medicine-planet/anti-cancer-injection.html
 Do you need STELARA 130MG/26 ML (USTEKINUMAB )?
 Seller=Hi Surya, thanks for your enquiry, we will respond soon
 Conversation 2:
 Seller=We hope you had an amazing experience with us. Don't forget to provide a quick review.
 Seller=Hi C,
 Thanks for your Enquiry to Medicine Planet, New Delhi.
 Please find my catalog : https://www.indiamart.com/medicine-planet/anti-cancer-injection.html
 Do you need STELARA 130MG/26 ML (USTEKINUMAB )?
 Seller=Hi C, thanks for your enquiry, we will respond soon
 Conversation 3:
 Seller=We hope you had an amazing experience with us. Don't forget to provide a quick review.
 Seller=Hi Sudesh,
 Thanks for your Enquiry to Medicine Planet, New Delhi.
 Please find my catalog : https://www.indiamart.com/medicine-planet/anti-cancer-injection.html
 Do you need STELARA 130MG/26 ML (USTEKINUMAB )?
 Seller=Hi Sudesh, thanks for your enquiry, we will respond soon
 Conversation 4:
 Seller=We hope you had an amazing experience with us. Don't forget to provide a quick review.</t>
        </is>
      </c>
      <c r="F2" t="inlineStr">
        <is>
          <t>------Now Aman received an order inquiry for the product Stelara 90 Mg from a buyer named Mangesh from a city Pune. Below is the conversation which is taking place between Mangesh and Aman for the inquired product:------
 Buyer: Strength:90 mg Buyer: 
  Seller: Hi Mangesh, thanks for your inquiry about Ustekirel 90mg. Please let me know the quantity you need and I will share the price with you.
  Seller: Hi Mangesh,
 Thanks for your Enquiry to Medicine Planet, New Delhi.
 Please find my catalog : https://www.indiamart.com/medicine-planet/anti-cancer-injection.html
 Do you need Stelara 90 Mg?
  Seller: Thanks for your enquiry, we will respond soon</t>
        </is>
      </c>
      <c r="G2" t="inlineStr">
        <is>
          <t>Response: Yes, Mangesh, Stelara 90 Mg is available. What quantity are you looking for?</t>
        </is>
      </c>
      <c r="H2" t="inlineStr">
        <is>
          <t>Response: Hi Mangesh, Ustekirel 90mg (Stelara) is available at INR 62,800 per vial. Tell me your required quantity, and I’ll share delivery details for Pune.</t>
        </is>
      </c>
      <c r="I2" t="inlineStr">
        <is>
          <t>Response: Please tell me the quantity you need, and I will share the best price.</t>
        </is>
      </c>
      <c r="J2" t="inlineStr">
        <is>
          <t>Response: The price for Ustekirel 90mg is INR 62,800 per vial. How many vials would you like to order for delivery to Pune?</t>
        </is>
      </c>
    </row>
    <row r="3">
      <c r="A3" t="n">
        <v>2599079</v>
      </c>
      <c r="B3" t="n">
        <v>243890758</v>
      </c>
      <c r="C3" t="inlineStr">
        <is>
          <t>------------Meena Enterprises Details:------Name=Akirat City=Kanpur State=Uttar Pradesh Phone=08047644284 Company=Meena Enterprises Company URL=https://www.indiamart.com/meenaentpkanpur/</t>
        </is>
      </c>
      <c r="D3" t="inlineStr">
        <is>
          <t>------Akirat deals in Play School Furniture which has the following product details:------
 Name=Kids Play School Furniture
 Price=INR 2000 per Piece
 Description=These sets can help children learn in an organized way.&amp;nbsp;The chairs are often similar to conventional school chairs, with a spindly appearance that allows children to sit independently.&amp;nbsp;
 Seating Capacity=8
 Age of Kid=1 to 3 Year##4 To 8 Year
 Brand=Meena
 Finishing=Color Coated
 Material=Wooden
 Plywood Thickness=15 to 18 mm</t>
        </is>
      </c>
      <c r="E3" t="inlineStr">
        <is>
          <t>------Akirat replying pattern: Whenever Akirat receives an order inquiry for the product Play School Furniture from any buyer, mentioned are the 1 different chat conversation between Akirat &amp; buyer. Use this to detect the seller replying pattern.------
 Conversation 1:
 Seller=Hi Abhishek,
 Thanks for your Enquiry to Meena Enterprises, Kanpur.
 Please find my catalog : https://www.indiamart.com/meenaentpkanpur/school-furniture.html
 Do you need Meena Kids Play School Furniture?
 Seller=We hope you had an amazing experience with us. Don't forget to provide a quick review.</t>
        </is>
      </c>
      <c r="F3" t="inlineStr">
        <is>
          <t>------Now Akirat received an order inquiry for the product Play School Furniture from a buyer named Priyanka from a city Jhansi. Below is the conversation which is taking place between Priyanka and Akirat for the inquired product:------
 Buyer: Probable Order Value:Rs. 1 to 2 Lakh Probable Requirement Type:Business Use Quantity:24 Set Shape:Rectangular Age Group:3-6 years Material:Plastic Seller: Hi Priyanka,
 Greetings from Meena Enterprises, Kanpur. We have received your Enquiry for 24 Set of Play School Furniture.
 Please check our catalog : https://www.indiamart.com/meenaentpkanpur/
 call us at 08047644284
 Are you still looking for this product?
  Seller: We hope you had an amazing experience with us. Don't forget to provide a quick review.
  Seller: Yes, Play School Furniture is available
  Seller: Kids Play School Furniture
 Price: INR 2800/set
 https://www.indiamart.com/proddetail/19256546262.html
  Seller: Hi Priyanka, Kids Play School Furniture is available for INR 2800 per set. Let me know if you need more details or want to place an order!</t>
        </is>
      </c>
      <c r="G3" t="inlineStr">
        <is>
          <t>Response: Yes, we have Kids Play School Furniture available for INR 2800 per set. Let me know if you need more details!</t>
        </is>
      </c>
      <c r="H3" t="inlineStr">
        <is>
          <t>Response: Thanks Priyanka! Kids Play School Furniture for 24 sets (Rectangular) is available. We can support business use—would you like delivery details to Jhansi?</t>
        </is>
      </c>
      <c r="I3" t="inlineStr">
        <is>
          <t>Response: Kids Play School Furniture is available in wooden material, color coated finish. Please let me know if you want the latest price and delivery details.</t>
        </is>
      </c>
      <c r="J3" t="inlineStr">
        <is>
          <t>Since the buyer hasn't sent a new message after the last seller message, I will provide a follow-up to encourage a response.
Response: Would you like me to share more photos of the wooden sets or discuss the delivery to Jhansi?</t>
        </is>
      </c>
    </row>
    <row r="4">
      <c r="A4" t="n">
        <v>6736578</v>
      </c>
      <c r="B4" t="n">
        <v>270920439</v>
      </c>
      <c r="C4" t="inlineStr">
        <is>
          <t>------------Chintamani Engineers Details:------Name=Chintamani City=Kolhapur State=Maharashtra Phone=07949303190 Company=Chintamani Engineers Company URL=https://www.indiamart.com/chintamani-engineers-kolhapur/</t>
        </is>
      </c>
      <c r="D4" t="inlineStr">
        <is>
          <t>------Chintamani deals in Single Phase Electric Motor which has the following product details:------
 Name=Electric Motor 1 HP to 25 HP
 Price=INR 7030 per Piece
 Description=&lt;p dir="ltr"&gt;Chaff cutter 2 h. P. 3 h. P. Single or three phase ele. Motor&lt;br&gt;
 ELE. MOTOR REPLECE 1 YEAR GARENTY&lt;br&gt;
 &lt;/p&gt;
 Voltage=230
 Weight=35
 IP Rating=IP21
 Motor Type=Capacitor Start/Run
 Rated Power=&lt;10 KW
 Surface Finish=H
 Thickness=G
 Body Material=Cast Iron
 Brand=Laxmi
 Finish=G
 Phase=Single Phase
 Type=Di
 Application=Compressor
 Color=Gray
 Material=CI
 Mounting Type=Foot Mount
 Winding Material=Copper
 Number Of Poles=2
 Power=3 HP
 Speed=1440 RPM
 Speed (RPM)=1440</t>
        </is>
      </c>
      <c r="E4" t="inlineStr">
        <is>
          <t>------Chintamani replying pattern: Whenever Chintamani receives an order inquiry for the product Single Phase Electric Motor from any buyer, mentioned are the 1 different chat conversation between Chintamani &amp; buyer. Use this to detect the seller replying pattern.------
 Conversation 1:
 Seller=Thanking you For Connecting Chintamani Engineers Kolhapur We are Manufactured
 All Kind Of Multi Purpose Chaff Cutter Machine, Domestic flour mill,
 Stone Atta Chakki , Grinding pulverizer , Cyclone Pulvelizer ,
 Gravy Machine ,Chilly Cutter, Vegetable Cutter, Brush cutter ,
 Chain saw , HTP Pump,Earth Dril , Atta Malni machine( Dough kneader
 machine), MINI Rice mill , Mirchi Kandap Machine ( Dang), Sevai
 Machine , Potato Peeler &amp;amp; Slicer Machine,Namkin ( Farsan ) Machine
 manufactured
 Chintamani Engineers Kaneri,KaneriMath road near Gokul shirgoan MIDC
 Kolhapur Maharashtra what's app mob **********
 www.Chintamanichaffcutter.com
 https://youtube.com/user/chintramani
 Seller=Electric Motor 1 HP to 25 HP
 Price: INR 7030/Piece
 https://www.indiamart.com/proddetail/1**********.html
 Seller=Thanking you For Connecting Chintamani Engineers Kolhapur We are Manufactured
 All Kind Of Multi Purpose Chaff Cutter Machine, Domestic flour mill,
 Stone Atta Chakki , Grinding pulverizer , Cyclone Pulvelizer ,
 Gravy Machine ,Chilly Cutter, Vegetable Cutter, Brush cutter ,
 Chain saw , HTP Pump,Earth Dril , Atta Malni machine( Dough kneader
 machine), MINI Rice mill , Mirchi Kandap Machine ( Dang), Sevai
 Machine , Potato Peeler &amp;amp; Slicer Machine,Namkin ( Farsan ) Machine
 manufactured
 Chintamani Engineers Kaneri,KaneriMath road near Gokul shirgoan MIDC
 Kolhapur Maharashtra what's app mob **********
 www.Chintamanichaffcutter.com
 https://youtube.com/user/chintramani</t>
        </is>
      </c>
      <c r="F4" t="inlineStr">
        <is>
          <t>------Now Chintamani received an order inquiry for the product Single Phase Electric Motor from a buyer named ANNAPURNA from a city Ramdurg. Below is the conversation which is taking place between ANNAPURNA and Chintamani for the inquired product:------
 Buyer: Seller: Electric Motor 1 HP to 25 HP
 Price: INR 7030/Piece
 https://www.indiamart.com/proddetail/16648181373.html
  Seller: Namaste ANNAPURNA, humare Electric Motor ka price INR 7030 hai. Aapko kitne pieces chahiye?</t>
        </is>
      </c>
      <c r="G4" t="inlineStr">
        <is>
          <t>Response: Sir, 3 HP motor is available for ₹7030 per piece. How many pieces would you like to order?</t>
        </is>
      </c>
      <c r="H4" t="inlineStr">
        <is>
          <t>Response: ANNAPURNA ji, Electric Motor ka price INR 7030 hai. Aapko kaam ke liye 1 HP ya 3 HP option chahiye? Quantity kitni rahegi?</t>
        </is>
      </c>
      <c r="I4" t="inlineStr">
        <is>
          <t>Response: 1 piece ke liye order confirm kijiye. Aap Ramdurg ke liye delivery chahte hain?</t>
        </is>
      </c>
      <c r="J4" t="inlineStr">
        <is>
          <t>Response: Humare paas Laxmi brand ke 3 HP motor available hain with 1 year warranty. Aapko kitni quantity mein delivery chahiye?</t>
        </is>
      </c>
    </row>
    <row r="5">
      <c r="A5" t="n">
        <v>57479406</v>
      </c>
      <c r="B5" t="n">
        <v>68965670</v>
      </c>
      <c r="C5" t="inlineStr">
        <is>
          <t>------------Neelkamal Bright Details:------Name=Hitesh City=Pune State=Maharashtra Phone=08047847550 Company=Neelkamal Bright Company URL=https://www.indiamart.com/neelkamalbright/</t>
        </is>
      </c>
      <c r="D5" t="inlineStr">
        <is>
          <t>------Hitesh deals in MS Hexagonal Bars which has the following product details:------
 Name=Mild Steel Hex Bar
 Price=INR 70 per Kilogram
 Description=We have established ourselves as coveted organization, involved in offering&amp;nbsp;&lt;b&gt;Mild Steel Round Bar.&lt;/b&gt;
 Usage/Application=Manufacturing
 Brand=Nakoda Group
 Country of Origin=Made in India
 Material=Mild Steel
 Shape=Hex
 Single Piece Length=3 m
 Size/Dimension=8 MM - 60 MM
 Surface Finish=Polished</t>
        </is>
      </c>
      <c r="E5" t="n">
        <v/>
      </c>
      <c r="F5" t="inlineStr">
        <is>
          <t>------Now Hitesh received an order inquiry for the product MS Hexagonal Bars from a buyer named Ashish from a city Prayagraj. Below is the conversation which is taking place between Ashish and Hitesh for the inquired product:------
 Buyer: Grade:Mild Steel Probable Order Value:Rs. 50 - 55 Quantity:1 Kg Surface Finish:Bright Buyer Filled Details:14 mm, 7 foot Seller: Hi Ashish,
 Greetings from Neelkamal Bright, Pune. We have received your Enquiry for 1 Kg of MS Hexagonal Bars.
 Please check our catalog : https://www.indiamart.com/neelkamalbright/
 call us at&amp;nbsp;9371012362
 Are you still looking for this product?
  Buyer: Additional details from Buyer
  Seller: Hi Ashish, thanks! We can supply 1 Kg MS Hexagonal Bar (14 mm, 7 ft, Mild Steel) in bright finish. Delivery to Prayagraj. Please confirm if you need any specific grade/spec?</t>
        </is>
      </c>
      <c r="G5" t="inlineStr">
        <is>
          <t>Response: Yes, we can supply the 14mm, 7ft Mild Steel Hexagonal Bar in bright finish to Prayagraj.</t>
        </is>
      </c>
      <c r="H5" t="inlineStr">
        <is>
          <t>Response: Perfect Ashish. We will dispatch 14 mm MS hex bar, bright finish, 7 feet length, 1 kg to Prayagraj from Pune. Share your delivery address and preferred delivery date.</t>
        </is>
      </c>
      <c r="I5" t="inlineStr">
        <is>
          <t>Response: Yes, we can supply 14 mm, 7 ft MS Hex Bar in bright finish. Please share your order confirmation, and we will arrange delivery to Prayagraj.</t>
        </is>
      </c>
      <c r="J5" t="inlineStr">
        <is>
          <t>Response: We can provide the 14mm MS Hex Bar in bright finish. Should I share the final price including delivery to Prayagraj?</t>
        </is>
      </c>
    </row>
    <row r="6">
      <c r="A6" t="n">
        <v>40265545</v>
      </c>
      <c r="B6" t="n">
        <v>10743706</v>
      </c>
      <c r="C6" t="inlineStr">
        <is>
          <t>------------The Heritage Stones Company Details:------Name=RAVI City=Gwalior State=Madhya Pradesh Phone=07942822520 Company=The Heritage Stones Company Company URL=https://www.theheritagestonescompany.in/</t>
        </is>
      </c>
      <c r="D6" t="inlineStr">
        <is>
          <t>------RAVI deals in Cobblestone Machine Cut which has the following product details:------
 Name=Red Granite Cobblestones
 Price=INR 2800 per sq ft
 Description=&lt;p dir="ltr"&gt;Established in 2021, The Heritage Stones Company is a famous Wholesale Trader of a Grey Mint Sandstone, Red Sandstone Slab and much more.&lt;/p&gt;
 Edge Finish=Hand Cut
 Form=Loose Stone
 Stone Size=200x100 mm
 Surface Finish=Flamed
 Thickness=80 mm
 Application Area=Pathway
 Color=1000
 Size=100 mm
 Stone Color=Grey
 Stone Origin=Andhra Pradesh
 Type=Outdoor</t>
        </is>
      </c>
      <c r="E6" t="n">
        <v/>
      </c>
      <c r="F6" t="inlineStr">
        <is>
          <t>------Now RAVI received an order inquiry for the product Cobblestone Machine Cut from a buyer named Shiv from a city Mumbai. Below is the conversation which is taking place between Shiv and RAVI for the inquired product:------
 Buyer: Probable Requirement Type:Business Use Quantity:100000 Piece Buyer Filled Details:Buyer needs machine cut cobble stone to be supplied in pallets, with a bush hammer finish in black granite and a rough finish in à¤¸à¤¦à¤°à¤²à¥€ à¤—à¥à¤°à¥‡ granite. Probable Order Value:Rs. 13.5 - 18 Lakh Seller: Can you please share more details about your requirement?
  Seller: We hope you had an amazing experience with us. Don't forget to provide a quick review.
  Seller: Hi Shiv, we can supply 100000 pieces of Cobblestone Machine Cut in black granite and à¤¸à¤¦à¤°à¤²à¥€ à¤—à¥à¤°à¥‡ granite. What's your preferred delivery timeline?
  Seller: Hi Shiv, we can deliver 100000 pieces of Cobblestone Machine Cut. Could you please share your preferred delivery timeline and budget? Looking forward to your reply!
  Seller:</t>
        </is>
      </c>
      <c r="G6" t="inlineStr">
        <is>
          <t>Response: We can supply both black granite and Sadelu Grey granite. What is your preferred delivery timeline for this order?</t>
        </is>
      </c>
      <c r="H6" t="inlineStr">
        <is>
          <t>Response: Great—once you confirm the pallet packing size and delivery date for Mumbai, we’ll process black granite bush hammer and sanded sadrauli granite rough finish immediately.</t>
        </is>
      </c>
      <c r="I6" t="inlineStr">
        <is>
          <t>Response: We can supply as per your requirement. Please share the final delivery city and quantity breakup for Mumbai.</t>
        </is>
      </c>
      <c r="J6" t="inlineStr">
        <is>
          <t>Response: We can certainly arrange the pallets with the specific bush hammer and rough finishes you requested. Shall we discuss the shipping logistics to Mumbai?</t>
        </is>
      </c>
    </row>
    <row r="7">
      <c r="A7" t="n">
        <v>40265545</v>
      </c>
      <c r="B7" t="n">
        <v>10743706</v>
      </c>
      <c r="C7" t="inlineStr">
        <is>
          <t>------------The Heritage Stones Company Details:------Name=RAVI City=Gwalior State=Madhya Pradesh Phone=07942822520 Company=The Heritage Stones Company Company URL=https://www.theheritagestonescompany.in/</t>
        </is>
      </c>
      <c r="D7" t="inlineStr">
        <is>
          <t>------RAVI deals in Cobblestone Machine Cut which has the following product details:------
 Name=Red Granite Cobblestones
 Price=INR 2800 per sq ft
 Description=&lt;p dir="ltr"&gt;Established in 2021, The Heritage Stones Company is a famous Wholesale Trader of a Grey Mint Sandstone, Red Sandstone Slab and much more.&lt;/p&gt;
 Color=1000
 Form=Loose Stone
 Stone Origin=Andhra Pradesh
 Thickness=80 mm
 Type=Outdoor
 Application Area=Pathway
 Size=100 mm
 Stone Color=Grey
 Stone Size=200x100 mm
 Surface Finish=Flamed
 Edge Finish=Hand Cut</t>
        </is>
      </c>
      <c r="E7" t="n">
        <v/>
      </c>
      <c r="F7" t="inlineStr">
        <is>
          <t>------Now RAVI received an order inquiry for the product Cobblestone Machine Cut from a buyer named Shiv from a city Mumbai. Below is the conversation which is taking place between Shiv and RAVI for the inquired product:------
 Buyer: Quantity:100000 Piece Buyer Filled Details:Buyer needs machine cut cobble stone to be supplied in pallets, with a bush hammer finish in black granite and a rough finish in à¤¸à¤¦à¤°à¤²à¥€ à¤—à¥à¤°à¥‡ granite. Probable Order Value:Rs. 13.5 - 18 Lakh Probable Requirement Type:Business Use Seller: Can you please share more details about your requirement?
  Seller: We hope you had an amazing experience with us. Don't forget to provide a quick review.
  Seller: Hi Shiv, we can supply 100000 pieces of Cobblestone Machine Cut in black granite and à¤¸à¤¦à¤°à¤²à¥€ à¤—à¥à¤°à¥‡ granite. What's your preferred delivery timeline?
  Seller: Hi Shiv, we can deliver 100000 pieces of Cobblestone Machine Cut. Could you please share your preferred delivery timeline and budget? Looking forward to your reply!
  Seller:</t>
        </is>
      </c>
      <c r="G7" t="inlineStr">
        <is>
          <t>Response: We can supply both black granite and Sadarali Grey granite with a bush hammer finish. What is your preferred delivery timeline?</t>
        </is>
      </c>
      <c r="H7" t="inlineStr">
        <is>
          <t>Response: Thanks Shiv. We can pack the machine-cut cobbles in pallets for smooth delivery to Mumbai. Share if you need delivery by sea or truck; we’ll plan accordingly.</t>
        </is>
      </c>
      <c r="I7" t="inlineStr">
        <is>
          <t>Response: We can supply as per your need. Please share the delivery city and finish details, and I will arrange the best offer.</t>
        </is>
      </c>
      <c r="J7" t="inlineStr">
        <is>
          <t>Response: Also, since you need pallets, would you like me to share a formal quotation including the shipping costs to Mumbai?</t>
        </is>
      </c>
    </row>
    <row r="8">
      <c r="A8" t="n">
        <v>40265545</v>
      </c>
      <c r="B8" t="n">
        <v>110370626</v>
      </c>
      <c r="C8" t="inlineStr">
        <is>
          <t>------------The Heritage Stones Company Details:------Name=RAVI City=Gwalior State=Madhya Pradesh Phone=07942822520 Company=The Heritage Stones Company Company URL=https://www.theheritagestonescompany.in/</t>
        </is>
      </c>
      <c r="D8" t="n">
        <v/>
      </c>
      <c r="E8" t="n">
        <v/>
      </c>
      <c r="F8" t="inlineStr">
        <is>
          <t>------Now RAVI received an order inquiry for the product Limestone from a buyer named Raju from a city Morena. Below is the conversation which is taking place between Raju and RAVI for the inquired product:------
 Buyer: Seller: Hi Raju, I can provide Limestone, but please let me know the quantity you need and if you have a budget in mind. Looking forward to your reply!</t>
        </is>
      </c>
      <c r="G8" t="inlineStr">
        <is>
          <t>Response: I can supply Limestone. Please let me know the quantity and your budget.</t>
        </is>
      </c>
      <c r="H8" t="inlineStr">
        <is>
          <t>Response: Hi Raju, I can share Limestone in Morena. Please tell me the needed quantity and your budget, and I’ll give you the best price and delivery timeline.</t>
        </is>
      </c>
      <c r="I8" t="inlineStr">
        <is>
          <t>Response: Morena ke liye Limestone available hai. Aap quantity bhej dijiye, main best price aur delivery details de dunga.</t>
        </is>
      </c>
      <c r="J8" t="inlineStr">
        <is>
          <t>Response: Please let me know the quantity and your budget so I can give you the best price for the Limestone.</t>
        </is>
      </c>
    </row>
    <row r="9">
      <c r="A9" t="n">
        <v>203498433</v>
      </c>
      <c r="B9" t="n">
        <v>258153601</v>
      </c>
      <c r="C9" t="inlineStr">
        <is>
          <t>------------Mohindra Machine Details:------Name=AZAD City=Amritsar State=Punjab Phone=07942965014 Company=Mohindra Machine Company URL=https://www.mohindramachine.in/</t>
        </is>
      </c>
      <c r="D9" t="inlineStr">
        <is>
          <t>------AZAD deals in Non Woven Flexo Printing Machine which has the following product details:------
 Name=Non Woven Flexo Printing Machine
 Price=INR 1000000 per Piece
 Description=We are engaged in offering this product to our clients. All our products have been widely appreciated by our customers.
 Material=Iron
 Max Printing Length=0-500 (mm)
 Printing Speed=120 m/min
 Usage/Application=Paper
 Capacity=250 sheets/min
 Color Printing=Color Printing
 Country of Origin=Made in India
 Color Output=4
 Machine Type=Automatic
 Number Of Colors=4</t>
        </is>
      </c>
      <c r="E9" t="n">
        <v/>
      </c>
      <c r="F9" t="inlineStr">
        <is>
          <t>------Now AZAD received an order inquiry for the product Non Woven Flexo Printing Machine from a buyer named Naresh from a city Chitradurga. Below is the conversation which is taking place between Naresh and AZAD for the inquired product:------
 Buyer:Buyer searched for single color drum printing machine and single color roll printing machine near Chitradurga Finance/Loan Requirement:No Probable Requirement Type:Business Use Capacity:250 sheets/min Seller: Hi Naresh, thanks for your enquiry, we will respond soon
  Seller: Hi Naresh, can you please share more details about your requirement?
  Seller: 
  Seller: Naresh, could you please confirm the quantity you need for the Non Woven Flexo Printing Machine? The price is INR 1000000 per piece.
  Seller: Hi Naresh,
 Your requirement for Non Woven Flexo Printing Machine on IndiaMART has been received.
 We attempted to reach you regarding your requirement, but were unable to connect. Please reach out to us or share suitable time to discuss</t>
        </is>
      </c>
      <c r="G9" t="inlineStr">
        <is>
          <t>Response: We have the Non Woven Flexo Printing Machine in Amritsar, Punjab. Can we schedule a call to discuss?</t>
        </is>
      </c>
      <c r="H9" t="inlineStr">
        <is>
          <t>Response: Thanks Naresh. We couldn’t connect earlier—please call us or share a good time today/this week. We’ll guide you for the Non Woven Flexo Printing Machine for your need.</t>
        </is>
      </c>
      <c r="I9" t="inlineStr">
        <is>
          <t>Response: Please share a suitable time, and I will call you to discuss the machine details.</t>
        </is>
      </c>
      <c r="J9" t="inlineStr">
        <is>
          <t>Response: Please let me know a good time to call you so we can discuss your requirement for the Non Woven Flexo Printing Machine.</t>
        </is>
      </c>
    </row>
    <row r="10">
      <c r="A10" t="n">
        <v>203498433</v>
      </c>
      <c r="B10" t="n">
        <v>218995034</v>
      </c>
      <c r="C10" t="inlineStr">
        <is>
          <t>------------Mohindra Machine Details:------Name=AZAD City=Amritsar State=Punjab Phone=07942965014 Company=Mohindra Machine Company URL=https://www.mohindramachine.in/</t>
        </is>
      </c>
      <c r="D10" t="n">
        <v/>
      </c>
      <c r="E10" t="n">
        <v/>
      </c>
      <c r="F10" t="inlineStr">
        <is>
          <t>------Now AZAD received an order inquiry for the product PAPER Plate Lamination Machine with Cutter from a buyer named Rohit from a city Madhubani. Below is the conversation which is taking place between Rohit and AZAD for the inquired product:------
 Buyer: Automation Grade:Manual Lamination Width:30 inch Probable Requirement Type:Business Use Seller: Hi Rohit, thanks for your enquiry, we will respond soon
  Seller: Hi Rohit, can you please share more details about your requirement?
  Seller: 
  Seller: Hi Rohit, please let me know the quantity you need for the PAPER Plate Lamination Machine with Cutter. Also, would you like to know the price?
  Seller: Hi Rohit,
 Your requirement for PAPER Plate Lamination Machine with Cutter on IndiaMART has been received.
 We attempted to reach you regarding your requirement, but were unable to connect. Please reach out to us or share suitable time to discuss</t>
        </is>
      </c>
      <c r="G10" t="inlineStr">
        <is>
          <t>Response: Please let me know the quantity you need for the PAPER Plate Lamination Machine with Cutter. Also, would you like to know the price?</t>
        </is>
      </c>
      <c r="H10" t="inlineStr">
        <is>
          <t>Response: Hi Rohit, thanks for your enquiry. We can share the best price for your 30-inch manual lamination machine with cutter. Please tell us your required quantity and we’ll quote.</t>
        </is>
      </c>
      <c r="I10" t="inlineStr">
        <is>
          <t>Response: Please share a suitable time, Rohit. I will call you and explain the machine details and price.</t>
        </is>
      </c>
      <c r="J10" t="inlineStr">
        <is>
          <t>Response: Please let me know a good time to call you so we can discuss the machine's price and features for your business.</t>
        </is>
      </c>
    </row>
    <row r="11">
      <c r="A11" t="n">
        <v>4660951</v>
      </c>
      <c r="B11" t="n">
        <v>25647666</v>
      </c>
      <c r="C11" t="inlineStr">
        <is>
          <t>------------Jaiswal Opticals Details:------Name=Pradeep City=Bengaluru State=Karnataka Phone=08047646233 Company=Jaiswal Opticals Company URL=https://www.jaiswalopticals.net/</t>
        </is>
      </c>
      <c r="D11" t="n">
        <v/>
      </c>
      <c r="E11" t="n">
        <v/>
      </c>
      <c r="F11" t="inlineStr">
        <is>
          <t>------Now Pradeep received an order inquiry for the product from a buyer named Eliceo from a city Santa Ana. Below is the conversation which is taking place between Eliceo and Pradeep for the inquired product:------
 Buyer:- Send us quotation &amp; details of 'Stylish Eyewear Frames'. Seller: Hi Eliceo! I'll send you the quotation for Stylish Eyewear Frames. Can you please tell me the quantity you need? Thank you!
  Buyer: The blue-cut reading glasses 2?$
  Seller: Hi Eliceo! Thanks for your interest in the blue-cut reading glasses. Can you please confirm how many pairs you would like to order? I&amp;rsquo;ll provide the price after that!
  Buyer: 2
  Seller: Please find the catalog link:
 https://www.jaiswalopticals.net/
  Buyer: I want the blue light blocker reader with out augmented
  Seller: 9986772911 whatsapp this number
  Buyer: How much for 2 pairs?</t>
        </is>
      </c>
      <c r="G11" t="inlineStr">
        <is>
          <t>Response: For 2 pairs of blue light blocker readers, the price is ₹1,400.</t>
        </is>
      </c>
      <c r="H11" t="inlineStr">
        <is>
          <t>Response: For 2 pairs of blue light blocker reading glasses (without augmented), the total is ₹___ plus shipping to Santa Ana. Share your preferred lens power/size and we’ll confirm today.</t>
        </is>
      </c>
      <c r="I11" t="inlineStr">
        <is>
          <t>Response: For 2 pairs, blue light blocker readers without power are ₹___ each. Please WhatsApp 9986772911 for exact price and delivery details.</t>
        </is>
      </c>
      <c r="J11" t="inlineStr">
        <is>
          <t>Response: For 2 pairs of blue-cut reading glasses, the total will be [Insert Price]. Would you like me to send the payment details?</t>
        </is>
      </c>
    </row>
    <row r="12">
      <c r="A12" t="n">
        <v>203498433</v>
      </c>
      <c r="B12" t="n">
        <v>242840519</v>
      </c>
      <c r="C12" t="inlineStr">
        <is>
          <t>------------Mohindra Machine Details:------Name=AZAD City=Amritsar State=Punjab Phone=07942965014 Company=Mohindra Machine Company URL=https://www.mohindramachine.in/</t>
        </is>
      </c>
      <c r="D12" t="inlineStr">
        <is>
          <t>------AZAD deals in Rotogravure Printing Machine which has the following product details:------
 Name=Rotogravure Printing Machine
 Price=INR 600000 per Piece
 Description=Entire machine built in very heavy cast iron frame with vibration free performance and beautiful look.Consist of a shaft made of alloy steel fitted with tapered C.I. cones for assembly specially designed the tension of the web is controlled by Clutch brake. An arrangement lateral displacement of the parent roll is also provided
 Ink Type=MEK
 Maximum Speed=250 m/min
 Printing Station=1/10
 Processed Materials=Aluminum Foil
 Size/Dimension=10/60
 Usage/Application=printing</t>
        </is>
      </c>
      <c r="E12" t="inlineStr">
        <is>
          <t>------AZAD replying pattern: Whenever AZAD receives an order inquiry for the product Rotogravure Printing Machine from any buyer, mentioned are the 2 different chat conversation between AZAD &amp; buyer. Use this to detect the seller replying pattern.------
 Conversation 1:
 Seller=Shaftless Rotogravure Printing Machine
 Price: INR 8000000/Piece
 https://www.indiamart.com/proddetail/2**********73.html
 Seller=Hi Suyash, yes, Shaftless Rotogravure Printing Machine is available
 Seller=Hi Suyash,
 Thanks for your Enquiry to Mohindra Machine, Amritsar.
 Please find my catalog : https://www.mohindramachine.in/rotogravure-printing-machine.html
 Do you need Shaftless Rotogravure Printing Machine?
 Conversation 2:
 Seller=Hi Master,
 Thanks for your Enquiry to Mohindra Machine, Amritsar.
 Please find my catalog : https://www.mohindramachine.in/rotogravure-printing-machine.html
 Do you need high speed Solventless rotogravure printing machine?
 Seller=Hi Master, yes, high speed Solventless rotogravure printing machine is available</t>
        </is>
      </c>
      <c r="F12" t="inlineStr">
        <is>
          <t>------Now AZAD received an order inquiry for the product Rotogravure Printing Machine from a buyer named Sadeeshkumar from a city Chennai. Below is the conversation which is taking place between Sadeeshkumar and AZAD for the inquired product:------
 Buyer: Finance/Loan Requirement:No Max Web Width:500 mm Maximum Speed:250 m/min Probable Requirement Type:Business Use Automatic Grade:Automatic Seller: Hi Sadeeshkumar,
 Greetings from Mohindra Machine, Amritsar. We have received your Enquiry for Rotogravure Printing Machine.
 Please check our catalog : https://www.mohindramachine.in/
 call us at 07942965014
 Are you still looking for this product?
  Seller: How many of Rotogravure Printing Machine do you need?
  Seller: Yes, Rotogravure Printing Machine is available
  Seller: We hope you had an amazing experience with us. Don't forget to provide a quick review.
  Seller: Hi Sadeeshkumar, thank you for your inquiry! How many Rotogravure Printing Machines do you need and what is your budget?</t>
        </is>
      </c>
      <c r="G12" t="inlineStr">
        <is>
          <t>Response: We have Rotogravure Printing Machines available. How many do you need?</t>
        </is>
      </c>
      <c r="H12" t="inlineStr">
        <is>
          <t>Response: Great—since your max web width is 500 mm and speed is 250 m/min, our automatic Rotogravure Printing Machine suits you well. Share how many pieces you need for Chennai delivery.</t>
        </is>
      </c>
      <c r="I12" t="inlineStr">
        <is>
          <t>Response: Yes, Rotogravure Printing Machine is available for 500 mm web width and 250 m/min speed.</t>
        </is>
      </c>
      <c r="J12" t="inlineStr">
        <is>
          <t>Response: Our Rotogravure Printing Machine is perfect for your 250 m/min speed requirement. Would you like to discuss the technical specifications or the pricing further?</t>
        </is>
      </c>
    </row>
    <row r="13">
      <c r="A13" t="n">
        <v>69692668</v>
      </c>
      <c r="B13" t="n">
        <v>182374869</v>
      </c>
      <c r="C13" t="inlineStr">
        <is>
          <t>------ Details:------ Name= City=</t>
        </is>
      </c>
      <c r="D13" t="n">
        <v/>
      </c>
      <c r="E13" t="n">
        <v/>
      </c>
      <c r="F13" t="inlineStr">
        <is>
          <t>------Now sent an order inquiry for the product to the seller named . Below is the conversation which is taking place between and for the inquired product:------
 Buyer:</t>
        </is>
      </c>
      <c r="G13" t="inlineStr">
        <is>
          <t>Response: Hello! Yes, we can provide a quote for you. Please confirm the quantity you need.</t>
        </is>
      </c>
      <c r="H13" t="inlineStr">
        <is>
          <t>Response: Hi Buyer, thanks for your inquiry. We can check availability and share delivery time and price details soon. Please confirm your preferred quantity.</t>
        </is>
      </c>
      <c r="I13" t="inlineStr">
        <is>
          <t>Response: Please share your order details.</t>
        </is>
      </c>
      <c r="J13" t="inlineStr">
        <is>
          <t>Please provide the **Buyer's message** and the **Product details** so I can generate the correct response for you.</t>
        </is>
      </c>
    </row>
    <row r="14">
      <c r="A14" t="n">
        <v>116861370</v>
      </c>
      <c r="B14" t="n">
        <v>271050323</v>
      </c>
      <c r="C14" t="inlineStr">
        <is>
          <t>------------Pawan Textiles Company Details:------Name=Pawan City=Aligarh State=Uttar Pradesh Phone=08048211334 Company=Pawan Textiles Company Company URL=https://www.indiamart.com/pawantextilescompany/</t>
        </is>
      </c>
      <c r="D14" t="inlineStr">
        <is>
          <t>------Pawan deals in Girls School Uniform Check Skirt which has the following product details:------
 Name=School Uniform Skirt
 Price=INR 121 per Piece
 Description=A school uniform is a standard set of clothes that students wear when they go to some schools. It might have a particular color of trousers or skirt, a matching shirt and sometimes a jacket or necktie, with matching shoes.
 Season=Summer
 Size=Medium
 Usage/Application=Clothing
 Color=Grey
 Fabric=Cotton
 Is It Customized=Customized
 Pattern=Check
 Product Type=School Skirt</t>
        </is>
      </c>
      <c r="E14" t="n">
        <v/>
      </c>
      <c r="F14" t="inlineStr">
        <is>
          <t>------Now Pawan received an order inquiry for the product Girls School Uniform Check Skirt from a buyer named Mohit from a city Jammu. Below is the conversation which is taking place between Mohit and Pawan for the inquired product:------
 Buyer: Age Group:10 Years Size:Small Seller: Hi Mohit,
 Greetings from Pawan Textiles Company, Aligarh. We have received your Enquiry for Girls School Uniform Check Skirt.
 Please check our catalog : https://www.indiamart.com/pawantextilescompany/
 call us at 08048211334
 Are you still looking for this product?
  Seller: School Uniform Skirt
 Price: 121.00 INR/Piece
 https://www.indiamart.com/proddetail/school-uniform-skirt-26485259448.html
  Seller: Hi Mohit, thank you for your interest! How many School Uniform Skirts in size Small would you like to order? Price is INR 121 per piece.</t>
        </is>
      </c>
      <c r="G14" t="inlineStr">
        <is>
          <t>Response: We have size Small available. How many pieces would you like to order?</t>
        </is>
      </c>
      <c r="H14" t="inlineStr">
        <is>
          <t>Response: Perfect, Mohit! We can make and deliver the Grey cotton Check School Uniform Skirt in Small. Please tell us your quantity, and we’ll confirm the total price for you.</t>
        </is>
      </c>
      <c r="I14" t="inlineStr">
        <is>
          <t>Response: Noted, Mohit. We can make size Small for 10 years. Please share how many skirts you need.</t>
        </is>
      </c>
      <c r="J14" t="inlineStr">
        <is>
          <t>Response: Please let me know the quantity you need for the Small size so I can prepare your order for Jammu.</t>
        </is>
      </c>
    </row>
    <row r="15">
      <c r="A15" t="n">
        <v>181220698</v>
      </c>
      <c r="B15" t="n">
        <v>34067103</v>
      </c>
      <c r="C15" t="inlineStr">
        <is>
          <t>------------Guru Kirpa Enterprises Details:------Name=Aman City=Rajpura State=Punjab Phone=08047844984 Company=Guru Kirpa Enterprises Company URL=https://www.indiamart.com/guru-kirpaenterprises-rajpura/</t>
        </is>
      </c>
      <c r="D15" t="inlineStr">
        <is>
          <t>------Aman deals in Voltas 1.5 Ton Split AC Long Body 3 Star which has the following product details:------
 Name=Voltas 123INV 1 Ton 3 Star Split Air Conditioner
 Price=INR 33000 per Piece
 Description=&lt;ul&gt;
 &lt;li&gt;Standard Installation is FREE with 5 year comprehensive warranty&lt;/li&gt;
 &lt;li&gt;Due to high order volumes there might be slight delay in dispatches&lt;/li&gt;
 &lt;li&gt;Delivery timeline is 7-10 business days&lt;/li&gt;
 &lt;li&gt;Order once Invoiced cannot be cancelled&lt;/li&gt;
 &lt;li&gt;Refund will be credited within 14 working days&lt;/li&gt;
 &lt;/ul&gt;
 &lt;br /&gt;
 &lt;p&gt;Meet the Voltas Vectra Emerald 1 Ton 3 Star Inverter Split Room AC designed for smarter, leaner cooling. With 5 Step Adjustable Mode, it fineâ€‘tunes cooling capacity to match realâ€‘time room load and occupancy, cutting energy waste without compromising comfort. Need instant relief? Turbo Cooling drives a quick temperature pullâ€‘down for fast comfort. Built to beat Indian summers, its High Ambient Cooling keeps performance reliable even at 52&amp;deg;C. The energyâ€‘efficient inverter compressor modulates speed for consistent temperatures and lower noise, helping optimize electricity bills with its 3 Star rating. Maintenance is effortless thanks to the Filter Clean Indicator, reminding you to clean filters for fresher air and steady airflow. Ideal for bedrooms, study rooms, and compact living areas, the Vectra Emerald delivers smart comfort, efficiency, and durability every day, all season.&lt;br /&gt;&lt;br /&gt;&lt;/p&gt;
 &lt;p&gt;Key Features:&lt;br /&gt;&lt;br /&gt;&lt;/p&gt;
 &lt;ul&gt;
 &lt;li&gt;Model No.: 4504051 / 123INV Vectra Emerald&lt;/li&gt;
 &lt;li&gt;Nominal Marketing Capacity (Ton): 1 Ton&lt;/li&gt;
 &lt;li&gt;BEE Star Rating: 3 Star&lt;/li&gt;
 &lt;li&gt;3326W Cooling Capacity&lt;/li&gt;
 &lt;li&gt;5 Step Adjustable Mode&lt;/li&gt;
 &lt;li&gt;Anti Dust Filter with Anti microbial coating&lt;/li&gt;
 &lt;li&gt;Hydrophilic Gold Fin Coating on Evaporator&lt;/li&gt;
 &lt;li&gt;Anti corrosive coating on Indoor Unit Coil (Hairpin side)&lt;/li&gt;
 &lt;li&gt;2 Way Swing&lt;/li&gt;
 &lt;li&gt;Anti Corrosive Gold Fin Condenser&lt;/li&gt;
 &lt;li&gt;High Ambient Cooling even at 52 degree Celsius&lt;/li&gt;
 &lt;li&gt;FR Grade Material on Indoor PCB box&lt;/li&gt;
 &lt;li&gt;Anti Fungi technology&lt;/li&gt;
 &lt;li&gt;Memory Restart&lt;/li&gt;
 &lt;li&gt;Sleep Mode&lt;/li&gt;
 &lt;li&gt;Anti freeze Thermostat&lt;/li&gt;
 &lt;li&gt;100% Copper&lt;/li&gt;
 &lt;li&gt;Acoustic Jacket on compressor&lt;/li&gt;
 &lt;li&gt;Gas Leak Detection&lt;/li&gt;
 &lt;li&gt;Installation Check&lt;/li&gt;
 &lt;/ul&gt;
 Star Rating=3 Star
 Capacity=1 Ton
 Colour=White
 Controller Type=Remote Control
 Refrigerant Gas=R32
 Model No=123INV
 Technology=Inverter
 Brand=Voltas
 Compressor Warranty=5 Years
 Condenser Coil=Copper
 Mode of Operation=Cooling Only</t>
        </is>
      </c>
      <c r="E15" t="n">
        <v/>
      </c>
      <c r="F15" t="inlineStr">
        <is>
          <t>------Now Aman received an order inquiry for the product Voltas 1.5 Ton Split AC Long Body 3 Star from a buyer named Vijay from a city Mohali. Below is the conversation which is taking place between Vijay and Aman for the inquired product:------
 Buyer:Long body Capacity:1.5 Ton Energy Rating:3 Star Probable Order Value:Rs. 35,000 - 38,000 Probable Requirement Type:Business Use Quantity:1 Piece Technology:Inverter Seller: Hi Vijay, the Voltas 1.5 Ton Split AC is available for [insert price]. Would you like to proceed with the order or have any questions?</t>
        </is>
      </c>
      <c r="G15" t="inlineStr">
        <is>
          <t>Response: The Voltas 1.5 Ton Split AC is priced at INR 35,000. Would you like to confirm your order?</t>
        </is>
      </c>
      <c r="H15" t="inlineStr">
        <is>
          <t>Response: Long body 1.5 Ton 3 Star Inverter Voltas AC for business use available. Price will be within ₹35,000–38,000 with free installation and 5-year comprehensive warranty—should I arrange for Mohali delivery?</t>
        </is>
      </c>
      <c r="I15" t="inlineStr">
        <is>
          <t>Response: Voltas 1.5 Ton 3 Star Inverter AC is available at Rs. 38,500. Standard installation is free. You can place the order.</t>
        </is>
      </c>
      <c r="J15" t="inlineStr">
        <is>
          <t>Response: The Voltas 1.5 Ton Split AC is available for INR 33,000. Would you like me to share the invoice or do you have any other questions?</t>
        </is>
      </c>
    </row>
    <row r="16">
      <c r="A16" t="n">
        <v>187509407</v>
      </c>
      <c r="B16" t="n">
        <v>30974829</v>
      </c>
      <c r="C16" t="inlineStr">
        <is>
          <t>------------Visual Organic Agrotech Private Limited Details:------Name=Haribhau City=Thane State=Maharashtra Phone=07942825787 Company=Visual Organic Agrotech Private Limited Company URL=https://www.indiamart.com/visualorganic-agrotech/</t>
        </is>
      </c>
      <c r="D16" t="inlineStr">
        <is>
          <t>------Haribhau deals in Electric Kachi Ghani Machine Wooden Cold Press Machine which has the following product details:------
 Name=COLD PRESSED OIL MACHINE
 Price=INR 264000 per Piece
 Description=Wood pressed Oil Ghani Capacity- 2HP, 3 phase All, Capacity 10 kg seed cushing per hour (one batch 40-45 minutes) parts of Oil Ghani other than wood shall be made of Stainless Steel (Upper hopeer and oil outlet in SS, Crushing rod and surface wodden, remaining body MS)
 Brand=VISUAL ORGANIC AGROTECH
 Capacity=1 ton/day
 Country of Origin=Made in India
 Operation Type=Semi Automatic
 Usage/Application=OIL GHANA MACHINE</t>
        </is>
      </c>
      <c r="E16" t="inlineStr">
        <is>
          <t>------Haribhau replying pattern: Whenever Haribhau receives an order inquiry for the product Electric Kachi Ghani Machine Wooden Cold Press Machine from any buyer, mentioned are the 2 different chat conversation between Haribhau &amp; buyer. Use this to detect the seller replying pattern.------
 Conversation 1:
 Seller=Hi Poonam,
 Thanks for your Enquiry to Visual Organic Agrotech Private Limited, Thane.
 Please find my catalog : https://www.indiamart.com/visualorganic-agrotech/cold-press-oil-machine.html
 Do you need ROTARY COLD OIL PRESS WOODEN GHANI?
 Seller=Can you please share more details about your requirement?
 Conversation 2:
 Seller=Hi Anees, yes, COLD PRESSED OIL MACHINE is available
 Seller=Hi Anees, can you please share a suitable time to talk?</t>
        </is>
      </c>
      <c r="F16" t="inlineStr">
        <is>
          <t>------Now Haribhau received an order inquiry for the product Electric Kachi Ghani Machine Wooden Cold Press Machine from a buyer named SHRADDHA from a city Mumbai. Below is the conversation which is taking place between SHRADDHA and Haribhau for the inquired product:------
 Buyer: Buyer Filled Details:10 kg Machine Type:Expeller Motor Power:3 HP Probable Requirement Type:Business Use Seller: Hi SHRADDHA, yes, Electric Kachi Ghani Machine Wooden Cold Press Machine is available
  Seller: Hi SHRADDHA, thanks for your enquiry, we will respond soon
  Seller: Hi SHRADDHA, what is the quantity and order value?
  Seller: Cold Press Oil Machine
 Price: INR 264000/Piece
 https://www.indiamart.com/proddetail/2854019892448.html
  Seller: Hi Shraddha, thanks for your inquiry! Can you please confirm the quantity you need for the heavy-duty oil pressed machine? The price is [insert price].</t>
        </is>
      </c>
      <c r="G16" t="inlineStr">
        <is>
          <t>Response: Yes, I can help you with the quantity needed.</t>
        </is>
      </c>
      <c r="H16" t="inlineStr">
        <is>
          <t>Response: This Cold Press Oil Machine works for 3 HP and 10 kg batch crushing. Price is INR 2,64,000 per piece. Share your delivery timeline in Mumbai for next steps.</t>
        </is>
      </c>
      <c r="I16" t="inlineStr">
        <is>
          <t>Response: 10 kg machine with 3 HP motor is suitable for business use. Please share your delivery location and required quantity.</t>
        </is>
      </c>
      <c r="J16" t="inlineStr">
        <is>
          <t>Response: Can you please share a suitable time to talk about your 3 HP requirement?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1921</v>
      </c>
      <c r="C2" s="2" t="n">
        <v>24</v>
      </c>
      <c r="D2" s="2" t="n">
        <v>1945</v>
      </c>
      <c r="E2" s="3" t="n">
        <v>0.000151275</v>
      </c>
      <c r="F2" s="4" t="n">
        <v>2.02722729999914</v>
      </c>
    </row>
    <row r="3">
      <c r="A3" t="n">
        <v>2</v>
      </c>
      <c r="B3" s="2" t="n">
        <v>1019</v>
      </c>
      <c r="C3" s="2" t="n">
        <v>30</v>
      </c>
      <c r="D3" s="2" t="n">
        <v>1049</v>
      </c>
      <c r="E3" s="3" t="n">
        <v>8.542499999999999e-05</v>
      </c>
      <c r="F3" s="4" t="n">
        <v>2.073648699999467</v>
      </c>
    </row>
    <row r="4">
      <c r="A4" t="n">
        <v>3</v>
      </c>
      <c r="B4" s="2" t="n">
        <v>1340</v>
      </c>
      <c r="C4" s="2" t="n">
        <v>28</v>
      </c>
      <c r="D4" s="2" t="n">
        <v>1368</v>
      </c>
      <c r="E4" s="3" t="n">
        <v>0.0001089</v>
      </c>
      <c r="F4" s="4" t="n">
        <v>2.469935499999337</v>
      </c>
    </row>
    <row r="5">
      <c r="A5" t="n">
        <v>4</v>
      </c>
      <c r="B5" s="2" t="n">
        <v>819</v>
      </c>
      <c r="C5" s="2" t="n">
        <v>29</v>
      </c>
      <c r="D5" s="2" t="n">
        <v>848</v>
      </c>
      <c r="E5" s="3" t="n">
        <v>7.012499999999998e-05</v>
      </c>
      <c r="F5" s="4" t="n">
        <v>2.23554409999997</v>
      </c>
    </row>
    <row r="6">
      <c r="A6" t="n">
        <v>5</v>
      </c>
      <c r="B6" s="2" t="n">
        <v>902</v>
      </c>
      <c r="C6" s="2" t="n">
        <v>25</v>
      </c>
      <c r="D6" s="2" t="n">
        <v>927</v>
      </c>
      <c r="E6" s="3" t="n">
        <v>7.515000000000001e-05</v>
      </c>
      <c r="F6" s="4" t="n">
        <v>2.532146199999261</v>
      </c>
    </row>
    <row r="7">
      <c r="A7" t="n">
        <v>6</v>
      </c>
      <c r="B7" s="2" t="n">
        <v>901</v>
      </c>
      <c r="C7" s="2" t="n">
        <v>27</v>
      </c>
      <c r="D7" s="2" t="n">
        <v>928</v>
      </c>
      <c r="E7" s="3" t="n">
        <v>7.5675e-05</v>
      </c>
      <c r="F7" s="4" t="n">
        <v>2.086102300001585</v>
      </c>
    </row>
    <row r="8">
      <c r="A8" t="n">
        <v>7</v>
      </c>
      <c r="B8" s="2" t="n">
        <v>538</v>
      </c>
      <c r="C8" s="2" t="n">
        <v>17</v>
      </c>
      <c r="D8" s="2" t="n">
        <v>555</v>
      </c>
      <c r="E8" s="3" t="n">
        <v>4.545e-05</v>
      </c>
      <c r="F8" s="4" t="n">
        <v>3.721029500000441</v>
      </c>
    </row>
    <row r="9">
      <c r="A9" t="n">
        <v>8</v>
      </c>
      <c r="B9" s="2" t="n">
        <v>829</v>
      </c>
      <c r="C9" s="2" t="n">
        <v>26</v>
      </c>
      <c r="D9" s="2" t="n">
        <v>855</v>
      </c>
      <c r="E9" s="3" t="n">
        <v>6.997499999999999e-05</v>
      </c>
      <c r="F9" s="4" t="n">
        <v>2.687754600001426</v>
      </c>
    </row>
    <row r="10">
      <c r="A10" t="n">
        <v>9</v>
      </c>
      <c r="B10" s="2" t="n">
        <v>650</v>
      </c>
      <c r="C10" s="2" t="n">
        <v>30</v>
      </c>
      <c r="D10" s="2" t="n">
        <v>680</v>
      </c>
      <c r="E10" s="3" t="n">
        <v>5.775e-05</v>
      </c>
      <c r="F10" s="4" t="n">
        <v>2.738087699999596</v>
      </c>
    </row>
    <row r="11">
      <c r="A11" t="n">
        <v>10</v>
      </c>
      <c r="B11" s="2" t="n">
        <v>688</v>
      </c>
      <c r="C11" s="2" t="n">
        <v>22</v>
      </c>
      <c r="D11" s="2" t="n">
        <v>710</v>
      </c>
      <c r="E11" s="3" t="n">
        <v>5.82e-05</v>
      </c>
      <c r="F11" s="4" t="n">
        <v>3.119705099999919</v>
      </c>
    </row>
    <row r="12">
      <c r="A12" t="n">
        <v>11</v>
      </c>
      <c r="B12" s="2" t="n">
        <v>1134</v>
      </c>
      <c r="C12" s="2" t="n">
        <v>17</v>
      </c>
      <c r="D12" s="2" t="n">
        <v>1151</v>
      </c>
      <c r="E12" s="3" t="n">
        <v>9.015e-05</v>
      </c>
      <c r="F12" s="4" t="n">
        <v>4.305451099999118</v>
      </c>
    </row>
    <row r="13">
      <c r="A13" t="n">
        <v>12</v>
      </c>
      <c r="B13" s="2" t="n">
        <v>441</v>
      </c>
      <c r="C13" s="2" t="n">
        <v>21</v>
      </c>
      <c r="D13" s="2" t="n">
        <v>462</v>
      </c>
      <c r="E13" s="3" t="n">
        <v>3.937499999999999e-05</v>
      </c>
      <c r="F13" s="4" t="n">
        <v>0.7033764999996492</v>
      </c>
    </row>
    <row r="14">
      <c r="A14" t="n">
        <v>13</v>
      </c>
      <c r="B14" s="2" t="n">
        <v>828</v>
      </c>
      <c r="C14" s="2" t="n">
        <v>17</v>
      </c>
      <c r="D14" s="2" t="n">
        <v>845</v>
      </c>
      <c r="E14" s="3" t="n">
        <v>6.719999999999999e-05</v>
      </c>
      <c r="F14" s="4" t="n">
        <v>1.190641600000163</v>
      </c>
    </row>
    <row r="15">
      <c r="A15" t="n">
        <v>14</v>
      </c>
      <c r="B15" s="2" t="n">
        <v>1238</v>
      </c>
      <c r="C15" s="2" t="n">
        <v>32</v>
      </c>
      <c r="D15" s="2" t="n">
        <v>1270</v>
      </c>
      <c r="E15" s="3" t="n">
        <v>0.00010245</v>
      </c>
      <c r="F15" s="4" t="n">
        <v>1.128981399999248</v>
      </c>
    </row>
    <row r="16">
      <c r="A16" t="n">
        <v>15</v>
      </c>
      <c r="B16" s="2" t="n">
        <v>1065</v>
      </c>
      <c r="C16" s="2" t="n">
        <v>13</v>
      </c>
      <c r="D16" s="2" t="n">
        <v>1078</v>
      </c>
      <c r="E16" s="3" t="n">
        <v>8.377499999999999e-05</v>
      </c>
      <c r="F16" s="4" t="n">
        <v>1.070021300000008</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1822</v>
      </c>
      <c r="C2" s="2" t="n">
        <v>49</v>
      </c>
      <c r="D2" s="2" t="n">
        <v>1871</v>
      </c>
      <c r="E2" s="3" t="n">
        <v>0.0003027</v>
      </c>
      <c r="F2" s="4" t="n">
        <v>6.28262309999991</v>
      </c>
    </row>
    <row r="3">
      <c r="A3" t="n">
        <v>2</v>
      </c>
      <c r="B3" s="2" t="n">
        <v>949</v>
      </c>
      <c r="C3" s="2" t="n">
        <v>41</v>
      </c>
      <c r="D3" s="2" t="n">
        <v>990</v>
      </c>
      <c r="E3" s="3" t="n">
        <v>0.00016695</v>
      </c>
      <c r="F3" s="4" t="n">
        <v>1.365314399999988</v>
      </c>
    </row>
    <row r="4">
      <c r="A4" t="n">
        <v>3</v>
      </c>
      <c r="B4" s="2" t="n">
        <v>1222</v>
      </c>
      <c r="C4" s="2" t="n">
        <v>49</v>
      </c>
      <c r="D4" s="2" t="n">
        <v>1271</v>
      </c>
      <c r="E4" s="3" t="n">
        <v>0.0002127</v>
      </c>
      <c r="F4" s="4" t="n">
        <v>1.320112600000357</v>
      </c>
    </row>
    <row r="5">
      <c r="A5" t="n">
        <v>4</v>
      </c>
      <c r="B5" s="2" t="n">
        <v>772</v>
      </c>
      <c r="C5" s="2" t="n">
        <v>47</v>
      </c>
      <c r="D5" s="2" t="n">
        <v>819</v>
      </c>
      <c r="E5" s="3" t="n">
        <v>0.000144</v>
      </c>
      <c r="F5" s="4" t="n">
        <v>8.960986400001275</v>
      </c>
    </row>
    <row r="6">
      <c r="A6" t="n">
        <v>5</v>
      </c>
      <c r="B6" s="2" t="n">
        <v>844</v>
      </c>
      <c r="C6" s="2" t="n">
        <v>39</v>
      </c>
      <c r="D6" s="2" t="n">
        <v>883</v>
      </c>
      <c r="E6" s="3" t="n">
        <v>0.00015</v>
      </c>
      <c r="F6" s="4" t="n">
        <v>2.356893300000593</v>
      </c>
    </row>
    <row r="7">
      <c r="A7" t="n">
        <v>6</v>
      </c>
      <c r="B7" s="2" t="n">
        <v>844</v>
      </c>
      <c r="C7" s="2" t="n">
        <v>40</v>
      </c>
      <c r="D7" s="2" t="n">
        <v>884</v>
      </c>
      <c r="E7" s="3" t="n">
        <v>0.0001506</v>
      </c>
      <c r="F7" s="4" t="n">
        <v>1.362783800001125</v>
      </c>
    </row>
    <row r="8">
      <c r="A8" t="n">
        <v>7</v>
      </c>
      <c r="B8" s="2" t="n">
        <v>518</v>
      </c>
      <c r="C8" s="2" t="n">
        <v>39</v>
      </c>
      <c r="D8" s="2" t="n">
        <v>557</v>
      </c>
      <c r="E8" s="3" t="n">
        <v>0.0001011</v>
      </c>
      <c r="F8" s="4" t="n">
        <v>11.21355299999959</v>
      </c>
    </row>
    <row r="9">
      <c r="A9" t="n">
        <v>8</v>
      </c>
      <c r="B9" s="2" t="n">
        <v>778</v>
      </c>
      <c r="C9" s="2" t="n">
        <v>46</v>
      </c>
      <c r="D9" s="2" t="n">
        <v>824</v>
      </c>
      <c r="E9" s="3" t="n">
        <v>0.0001443</v>
      </c>
      <c r="F9" s="4" t="n">
        <v>9.603954300000623</v>
      </c>
    </row>
    <row r="10">
      <c r="A10" t="n">
        <v>9</v>
      </c>
      <c r="B10" s="2" t="n">
        <v>629</v>
      </c>
      <c r="C10" s="2" t="n">
        <v>44</v>
      </c>
      <c r="D10" s="2" t="n">
        <v>673</v>
      </c>
      <c r="E10" s="3" t="n">
        <v>0.00012075</v>
      </c>
      <c r="F10" s="4" t="n">
        <v>2.717371999999159</v>
      </c>
    </row>
    <row r="11">
      <c r="A11" t="n">
        <v>10</v>
      </c>
      <c r="B11" s="2" t="n">
        <v>656</v>
      </c>
      <c r="C11" s="2" t="n">
        <v>44</v>
      </c>
      <c r="D11" s="2" t="n">
        <v>700</v>
      </c>
      <c r="E11" s="3" t="n">
        <v>0.0001248</v>
      </c>
      <c r="F11" s="4" t="n">
        <v>1.230289499999344</v>
      </c>
    </row>
    <row r="12">
      <c r="A12" t="n">
        <v>11</v>
      </c>
      <c r="B12" s="2" t="n">
        <v>1074</v>
      </c>
      <c r="C12" s="2" t="n">
        <v>47</v>
      </c>
      <c r="D12" s="2" t="n">
        <v>1121</v>
      </c>
      <c r="E12" s="3" t="n">
        <v>0.0001893</v>
      </c>
      <c r="F12" s="4" t="n">
        <v>3.171729599998798</v>
      </c>
    </row>
    <row r="13">
      <c r="A13" t="n">
        <v>12</v>
      </c>
      <c r="B13" s="2" t="n">
        <v>430</v>
      </c>
      <c r="C13" s="2" t="n">
        <v>33</v>
      </c>
      <c r="D13" s="2" t="n">
        <v>463</v>
      </c>
      <c r="E13" s="3" t="n">
        <v>8.429999999999999e-05</v>
      </c>
      <c r="F13" s="4" t="n">
        <v>10.64634370000022</v>
      </c>
    </row>
    <row r="14">
      <c r="A14" t="n">
        <v>13</v>
      </c>
      <c r="B14" s="2" t="n">
        <v>767</v>
      </c>
      <c r="C14" s="2" t="n">
        <v>43</v>
      </c>
      <c r="D14" s="2" t="n">
        <v>810</v>
      </c>
      <c r="E14" s="3" t="n">
        <v>0.00014085</v>
      </c>
      <c r="F14" s="4" t="n">
        <v>1.055688500000542</v>
      </c>
    </row>
    <row r="15">
      <c r="A15" t="n">
        <v>14</v>
      </c>
      <c r="B15" s="2" t="n">
        <v>1238</v>
      </c>
      <c r="C15" s="2" t="n">
        <v>56</v>
      </c>
      <c r="D15" s="2" t="n">
        <v>1294</v>
      </c>
      <c r="E15" s="3" t="n">
        <v>0.0002193</v>
      </c>
      <c r="F15" s="4" t="n">
        <v>7.731662899999719</v>
      </c>
    </row>
    <row r="16">
      <c r="A16" t="n">
        <v>15</v>
      </c>
      <c r="B16" s="2" t="n">
        <v>996</v>
      </c>
      <c r="C16" s="2" t="n">
        <v>45</v>
      </c>
      <c r="D16" s="2" t="n">
        <v>1041</v>
      </c>
      <c r="E16" s="3" t="n">
        <v>0.0001764</v>
      </c>
      <c r="F16" s="4" t="n">
        <v>1.192111500000465</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1822</v>
      </c>
      <c r="C2" s="2" t="n">
        <v>21</v>
      </c>
      <c r="D2" s="2" t="n">
        <v>1843</v>
      </c>
      <c r="E2" s="3" t="n">
        <v>0.0005717999999999999</v>
      </c>
      <c r="F2" s="4" t="n">
        <v>1.127427499999612</v>
      </c>
    </row>
    <row r="3">
      <c r="A3" t="n">
        <v>2</v>
      </c>
      <c r="B3" s="2" t="n">
        <v>949</v>
      </c>
      <c r="C3" s="2" t="n">
        <v>33</v>
      </c>
      <c r="D3" s="2" t="n">
        <v>982</v>
      </c>
      <c r="E3" s="3" t="n">
        <v>0.0003243</v>
      </c>
      <c r="F3" s="4" t="n">
        <v>1.169407800000045</v>
      </c>
    </row>
    <row r="4">
      <c r="A4" t="n">
        <v>3</v>
      </c>
      <c r="B4" s="2" t="n">
        <v>1222</v>
      </c>
      <c r="C4" s="2" t="n">
        <v>31</v>
      </c>
      <c r="D4" s="2" t="n">
        <v>1253</v>
      </c>
      <c r="E4" s="3" t="n">
        <v>0.0004037999999999999</v>
      </c>
      <c r="F4" s="4" t="n">
        <v>6.619621399999232</v>
      </c>
    </row>
    <row r="5">
      <c r="A5" t="n">
        <v>4</v>
      </c>
      <c r="B5" s="2" t="n">
        <v>772</v>
      </c>
      <c r="C5" s="2" t="n">
        <v>40</v>
      </c>
      <c r="D5" s="2" t="n">
        <v>812</v>
      </c>
      <c r="E5" s="3" t="n">
        <v>0.0002796</v>
      </c>
      <c r="F5" s="4" t="n">
        <v>1.894287499999336</v>
      </c>
    </row>
    <row r="6">
      <c r="A6" t="n">
        <v>5</v>
      </c>
      <c r="B6" s="2" t="n">
        <v>844</v>
      </c>
      <c r="C6" s="2" t="n">
        <v>25</v>
      </c>
      <c r="D6" s="2" t="n">
        <v>869</v>
      </c>
      <c r="E6" s="3" t="n">
        <v>0.0002832</v>
      </c>
      <c r="F6" s="4" t="n">
        <v>0.9354036000004271</v>
      </c>
    </row>
    <row r="7">
      <c r="A7" t="n">
        <v>6</v>
      </c>
      <c r="B7" s="2" t="n">
        <v>844</v>
      </c>
      <c r="C7" s="2" t="n">
        <v>30</v>
      </c>
      <c r="D7" s="2" t="n">
        <v>874</v>
      </c>
      <c r="E7" s="3" t="n">
        <v>0.0002892</v>
      </c>
      <c r="F7" s="4" t="n">
        <v>1.283681400000205</v>
      </c>
    </row>
    <row r="8">
      <c r="A8" t="n">
        <v>7</v>
      </c>
      <c r="B8" s="2" t="n">
        <v>518</v>
      </c>
      <c r="C8" s="2" t="n">
        <v>32</v>
      </c>
      <c r="D8" s="2" t="n">
        <v>550</v>
      </c>
      <c r="E8" s="3" t="n">
        <v>0.0001938</v>
      </c>
      <c r="F8" s="4" t="n">
        <v>3.065137399999003</v>
      </c>
    </row>
    <row r="9">
      <c r="A9" t="n">
        <v>8</v>
      </c>
      <c r="B9" s="2" t="n">
        <v>778</v>
      </c>
      <c r="C9" s="2" t="n">
        <v>22</v>
      </c>
      <c r="D9" s="2" t="n">
        <v>800</v>
      </c>
      <c r="E9" s="3" t="n">
        <v>0.0002598</v>
      </c>
      <c r="F9" s="4" t="n">
        <v>2.485972000000402</v>
      </c>
    </row>
    <row r="10">
      <c r="A10" t="n">
        <v>9</v>
      </c>
      <c r="B10" s="2" t="n">
        <v>629</v>
      </c>
      <c r="C10" s="2" t="n">
        <v>26</v>
      </c>
      <c r="D10" s="2" t="n">
        <v>655</v>
      </c>
      <c r="E10" s="3" t="n">
        <v>0.0002199</v>
      </c>
      <c r="F10" s="4" t="n">
        <v>1.191992000000027</v>
      </c>
    </row>
    <row r="11">
      <c r="A11" t="n">
        <v>10</v>
      </c>
      <c r="B11" s="2" t="n">
        <v>656</v>
      </c>
      <c r="C11" s="2" t="n">
        <v>36</v>
      </c>
      <c r="D11" s="2" t="n">
        <v>692</v>
      </c>
      <c r="E11" s="3" t="n">
        <v>0.00024</v>
      </c>
      <c r="F11" s="4" t="n">
        <v>11.78490320000128</v>
      </c>
    </row>
    <row r="12">
      <c r="A12" t="n">
        <v>11</v>
      </c>
      <c r="B12" s="2" t="n">
        <v>1074</v>
      </c>
      <c r="C12" s="2" t="n">
        <v>28</v>
      </c>
      <c r="D12" s="2" t="n">
        <v>1102</v>
      </c>
      <c r="E12" s="3" t="n">
        <v>0.0003558</v>
      </c>
      <c r="F12" s="4" t="n">
        <v>2.73672550000083</v>
      </c>
    </row>
    <row r="13">
      <c r="A13" t="n">
        <v>12</v>
      </c>
      <c r="B13" s="2" t="n">
        <v>430</v>
      </c>
      <c r="C13" s="2" t="n">
        <v>11</v>
      </c>
      <c r="D13" s="2" t="n">
        <v>441</v>
      </c>
      <c r="E13" s="3" t="n">
        <v>0.0001422</v>
      </c>
      <c r="F13" s="4" t="n">
        <v>0.9226064000013139</v>
      </c>
    </row>
    <row r="14">
      <c r="A14" t="n">
        <v>13</v>
      </c>
      <c r="B14" s="2" t="n">
        <v>767</v>
      </c>
      <c r="C14" s="2" t="n">
        <v>29</v>
      </c>
      <c r="D14" s="2" t="n">
        <v>796</v>
      </c>
      <c r="E14" s="3" t="n">
        <v>0.0002649</v>
      </c>
      <c r="F14" s="4" t="n">
        <v>15.5486020999997</v>
      </c>
    </row>
    <row r="15">
      <c r="A15" t="n">
        <v>14</v>
      </c>
      <c r="B15" s="2" t="n">
        <v>1238</v>
      </c>
      <c r="C15" s="2" t="n">
        <v>39</v>
      </c>
      <c r="D15" s="2" t="n">
        <v>1277</v>
      </c>
      <c r="E15" s="3" t="n">
        <v>0.0004182</v>
      </c>
      <c r="F15" s="4" t="n">
        <v>1.083549699998912</v>
      </c>
    </row>
    <row r="16">
      <c r="A16" t="n">
        <v>15</v>
      </c>
      <c r="B16" s="2" t="n">
        <v>996</v>
      </c>
      <c r="C16" s="2" t="n">
        <v>29</v>
      </c>
      <c r="D16" s="2" t="n">
        <v>1025</v>
      </c>
      <c r="E16" s="3" t="n">
        <v>0.0003335999999999999</v>
      </c>
      <c r="F16" s="4" t="n">
        <v>1.047879699999612</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20" customWidth="1" min="3" max="3"/>
    <col width="15" customWidth="1" min="4" max="4"/>
    <col width="25" customWidth="1" min="5" max="5"/>
    <col width="21" customWidth="1" min="6" max="6"/>
  </cols>
  <sheetData>
    <row r="1">
      <c r="A1" s="1" t="inlineStr">
        <is>
          <t>Call ID</t>
        </is>
      </c>
      <c r="B1" s="1" t="inlineStr">
        <is>
          <t>Prompt Tokens</t>
        </is>
      </c>
      <c r="C1" s="1" t="inlineStr">
        <is>
          <t>Completion Tokens</t>
        </is>
      </c>
      <c r="D1" s="1" t="inlineStr">
        <is>
          <t>Total Tokens</t>
        </is>
      </c>
      <c r="E1" s="1" t="inlineStr">
        <is>
          <t>Estimated Cost</t>
        </is>
      </c>
      <c r="F1" s="1" t="inlineStr">
        <is>
          <t>Latency</t>
        </is>
      </c>
    </row>
    <row r="2">
      <c r="A2" t="n">
        <v>1</v>
      </c>
      <c r="B2" s="2" t="n">
        <v>1964</v>
      </c>
      <c r="C2" s="2" t="n">
        <v>39</v>
      </c>
      <c r="D2" s="2" t="n">
        <v>2003</v>
      </c>
      <c r="E2" s="3" t="n">
        <v>0.000424</v>
      </c>
      <c r="F2" s="4" t="n">
        <v>1.641305499999362</v>
      </c>
    </row>
    <row r="3">
      <c r="A3" t="n">
        <v>2</v>
      </c>
      <c r="B3" s="2" t="n">
        <v>1037</v>
      </c>
      <c r="C3" s="2" t="n">
        <v>52</v>
      </c>
      <c r="D3" s="2" t="n">
        <v>1089</v>
      </c>
      <c r="E3" s="3" t="n">
        <v>0.000249</v>
      </c>
      <c r="F3" s="4" t="n">
        <v>1.797540100000333</v>
      </c>
    </row>
    <row r="4">
      <c r="A4" t="n">
        <v>3</v>
      </c>
      <c r="B4" s="2" t="n">
        <v>1358</v>
      </c>
      <c r="C4" s="2" t="n">
        <v>32</v>
      </c>
      <c r="D4" s="2" t="n">
        <v>1390</v>
      </c>
      <c r="E4" s="3" t="n">
        <v>0.0002972000000000001</v>
      </c>
      <c r="F4" s="4" t="n">
        <v>1.766567799999393</v>
      </c>
    </row>
    <row r="5">
      <c r="A5" t="n">
        <v>4</v>
      </c>
      <c r="B5" s="2" t="n">
        <v>840</v>
      </c>
      <c r="C5" s="2" t="n">
        <v>31</v>
      </c>
      <c r="D5" s="2" t="n">
        <v>871</v>
      </c>
      <c r="E5" s="3" t="n">
        <v>0.0001928</v>
      </c>
      <c r="F5" s="4" t="n">
        <v>1.418411399999968</v>
      </c>
    </row>
    <row r="6">
      <c r="A6" t="n">
        <v>5</v>
      </c>
      <c r="B6" s="2" t="n">
        <v>919</v>
      </c>
      <c r="C6" s="2" t="n">
        <v>29</v>
      </c>
      <c r="D6" s="2" t="n">
        <v>948</v>
      </c>
      <c r="E6" s="3" t="n">
        <v>0.000207</v>
      </c>
      <c r="F6" s="4" t="n">
        <v>2.783651799998552</v>
      </c>
    </row>
    <row r="7">
      <c r="A7" t="n">
        <v>6</v>
      </c>
      <c r="B7" s="2" t="n">
        <v>931</v>
      </c>
      <c r="C7" s="2" t="n">
        <v>26</v>
      </c>
      <c r="D7" s="2" t="n">
        <v>957</v>
      </c>
      <c r="E7" s="3" t="n">
        <v>0.000207</v>
      </c>
      <c r="F7" s="4" t="n">
        <v>0.931418100000883</v>
      </c>
    </row>
    <row r="8">
      <c r="A8" t="n">
        <v>7</v>
      </c>
      <c r="B8" s="2" t="n">
        <v>556</v>
      </c>
      <c r="C8" s="2" t="n">
        <v>24</v>
      </c>
      <c r="D8" s="2" t="n">
        <v>580</v>
      </c>
      <c r="E8" s="3" t="n">
        <v>0.0001304</v>
      </c>
      <c r="F8" s="4" t="n">
        <v>1.172862699999314</v>
      </c>
    </row>
    <row r="9">
      <c r="A9" t="n">
        <v>8</v>
      </c>
      <c r="B9" s="2" t="n">
        <v>847</v>
      </c>
      <c r="C9" s="2" t="n">
        <v>29</v>
      </c>
      <c r="D9" s="2" t="n">
        <v>876</v>
      </c>
      <c r="E9" s="3" t="n">
        <v>0.0001926</v>
      </c>
      <c r="F9" s="4" t="n">
        <v>1.67682220000097</v>
      </c>
    </row>
    <row r="10">
      <c r="A10" t="n">
        <v>9</v>
      </c>
      <c r="B10" s="2" t="n">
        <v>669</v>
      </c>
      <c r="C10" s="2" t="n">
        <v>28</v>
      </c>
      <c r="D10" s="2" t="n">
        <v>697</v>
      </c>
      <c r="E10" s="3" t="n">
        <v>0.0001562</v>
      </c>
      <c r="F10" s="4" t="n">
        <v>11.05416030000015</v>
      </c>
    </row>
    <row r="11">
      <c r="A11" t="n">
        <v>10</v>
      </c>
      <c r="B11" s="2" t="n">
        <v>707</v>
      </c>
      <c r="C11" s="2" t="n">
        <v>32</v>
      </c>
      <c r="D11" s="2" t="n">
        <v>739</v>
      </c>
      <c r="E11" s="3" t="n">
        <v>0.000167</v>
      </c>
      <c r="F11" s="4" t="n">
        <v>1.413515399999596</v>
      </c>
    </row>
    <row r="12">
      <c r="A12" t="n">
        <v>11</v>
      </c>
      <c r="B12" s="2" t="n">
        <v>1152</v>
      </c>
      <c r="C12" s="2" t="n">
        <v>36</v>
      </c>
      <c r="D12" s="2" t="n">
        <v>1188</v>
      </c>
      <c r="E12" s="3" t="n">
        <v>0.0002592</v>
      </c>
      <c r="F12" s="4" t="n">
        <v>10.68489629999931</v>
      </c>
    </row>
    <row r="13">
      <c r="A13" t="n">
        <v>12</v>
      </c>
      <c r="B13" s="2" t="n">
        <v>459</v>
      </c>
      <c r="C13" s="2" t="n">
        <v>26</v>
      </c>
      <c r="D13" s="2" t="n">
        <v>485</v>
      </c>
      <c r="E13" s="3" t="n">
        <v>0.0001126</v>
      </c>
      <c r="F13" s="4" t="n">
        <v>3.423207300000286</v>
      </c>
    </row>
    <row r="14">
      <c r="A14" t="n">
        <v>13</v>
      </c>
      <c r="B14" s="2" t="n">
        <v>846</v>
      </c>
      <c r="C14" s="2" t="n">
        <v>24</v>
      </c>
      <c r="D14" s="2" t="n">
        <v>870</v>
      </c>
      <c r="E14" s="3" t="n">
        <v>0.0001884</v>
      </c>
      <c r="F14" s="4" t="n">
        <v>5.55522639999981</v>
      </c>
    </row>
    <row r="15">
      <c r="A15" t="n">
        <v>14</v>
      </c>
      <c r="B15" s="2" t="n">
        <v>1333</v>
      </c>
      <c r="C15" s="2" t="n">
        <v>41</v>
      </c>
      <c r="D15" s="2" t="n">
        <v>1374</v>
      </c>
      <c r="E15" s="3" t="n">
        <v>0.0002994</v>
      </c>
      <c r="F15" s="4" t="n">
        <v>1.937583699998868</v>
      </c>
    </row>
    <row r="16">
      <c r="A16" t="n">
        <v>15</v>
      </c>
      <c r="B16" s="2" t="n">
        <v>1083</v>
      </c>
      <c r="C16" s="2" t="n">
        <v>19</v>
      </c>
      <c r="D16" s="2" t="n">
        <v>1102</v>
      </c>
      <c r="E16" s="3" t="n">
        <v>0.0002318</v>
      </c>
      <c r="F16" s="4" t="n">
        <v>1.043851000000359</v>
      </c>
    </row>
    <row r="17"/>
    <row r="18">
      <c r="A18" s="5" t="inlineStr">
        <is>
          <t>Average Prompt Tokens</t>
        </is>
      </c>
      <c r="B18" s="6">
        <f>AVERAGE(B2:B16)</f>
        <v/>
      </c>
    </row>
    <row r="19">
      <c r="A19" s="5" t="inlineStr">
        <is>
          <t>Average Completion Tokens</t>
        </is>
      </c>
      <c r="C19" s="6">
        <f>AVERAGE(C2:C16)</f>
        <v/>
      </c>
    </row>
    <row r="20">
      <c r="A20" s="5" t="inlineStr">
        <is>
          <t>Average Total Tokens</t>
        </is>
      </c>
      <c r="D20" s="6">
        <f>AVERAGE(D2:D16)</f>
        <v/>
      </c>
    </row>
    <row r="21">
      <c r="A21" s="5" t="inlineStr">
        <is>
          <t>Average Estimated Cost</t>
        </is>
      </c>
      <c r="E21" s="7">
        <f>AVERAGE(E2:E16)</f>
        <v/>
      </c>
    </row>
    <row r="22">
      <c r="A22" s="5" t="inlineStr">
        <is>
          <t>Average Latency</t>
        </is>
      </c>
      <c r="F22" s="8">
        <f>AVERAGE(F2:F16)</f>
        <v/>
      </c>
    </row>
    <row r="23">
      <c r="A23" s="5" t="inlineStr">
        <is>
          <t>P95 Latency</t>
        </is>
      </c>
      <c r="F23" s="8">
        <f>PERCENTILE.INC(F2:F16,0.95)</f>
        <v/>
      </c>
    </row>
    <row r="24">
      <c r="A24" s="5" t="inlineStr">
        <is>
          <t>Maximum Latency</t>
        </is>
      </c>
      <c r="F24" s="8">
        <f>MAX(F2:F16)</f>
        <v/>
      </c>
    </row>
    <row r="25">
      <c r="A25" s="5" t="inlineStr">
        <is>
          <t>Minimum Latency</t>
        </is>
      </c>
      <c r="F25" s="8">
        <f>MIN(F2:F16)</f>
        <v/>
      </c>
    </row>
    <row r="26">
      <c r="A26" s="5" t="inlineStr">
        <is>
          <t>Standard Deviation Latency</t>
        </is>
      </c>
      <c r="F26" s="8">
        <f>STDEV.S(F2:F16)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2026-07-20T07:20:10Z</dcterms:created>
  <dcterms:modified xsi:type="dcterms:W3CDTF">2026-07-20T07:20:10Z</dcterms:modified>
</cp:coreProperties>
</file>