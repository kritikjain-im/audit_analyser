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sheetId="1" state="visible" r:id="rId1"/>
    <sheet name="Gemini Metrics" sheetId="2" state="visible" r:id="rId2"/>
    <sheet name="Gemini 3.5 Flash Metrics" sheetId="3" state="visible" r:id="rId3"/>
    <sheet name="GPT5 Nano Metrics" sheetId="4" state="visible" r:id="rId4"/>
    <sheet name="GPT5 Mini Metrics" sheetId="5" state="visible" r:id="rId5"/>
    <sheet name="Gemma Metrics" sheetId="6" state="visible" r:id="rId6"/>
  </sheets>
  <definedNames/>
  <calcPr calcId="124519" fullCalcOnLoad="1"/>
</workbook>
</file>

<file path=xl/styles.xml><?xml version="1.0" encoding="utf-8"?>
<styleSheet xmlns="http://schemas.openxmlformats.org/spreadsheetml/2006/main">
  <numFmts count="2">
    <numFmt numFmtId="164" formatCode="0.00000000"/>
    <numFmt numFmtId="165" formatCode="0.000"/>
  </numFmts>
  <fonts count="3">
    <font>
      <name val="Calibri"/>
      <family val="2"/>
      <color theme="1"/>
      <sz val="11"/>
      <scheme val="minor"/>
    </font>
    <font>
      <name val="Calibri"/>
      <b val="1"/>
      <color rgb="00000000"/>
      <sz val="11"/>
    </font>
    <font>
      <name val="Calibri"/>
      <b val="1"/>
      <sz val="11"/>
    </font>
  </fonts>
  <fills count="3">
    <fill>
      <patternFill/>
    </fill>
    <fill>
      <patternFill patternType="gray125"/>
    </fill>
    <fill>
      <patternFill patternType="solid">
        <fgColor rgb="00F2F2F2"/>
        <bgColor rgb="00F2F2F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xf>
    <xf numFmtId="3" fontId="0" fillId="0" borderId="0" pivotButton="0" quotePrefix="0" xfId="0"/>
    <xf numFmtId="164" fontId="0" fillId="0" borderId="0" pivotButton="0" quotePrefix="0" xfId="0"/>
    <xf numFmtId="165" fontId="0" fillId="0" borderId="0" pivotButton="0" quotePrefix="0" xfId="0"/>
    <xf numFmtId="0" fontId="2" fillId="0" borderId="0" pivotButton="0" quotePrefix="0" xfId="0"/>
    <xf numFmtId="3" fontId="2" fillId="0" borderId="0" pivotButton="0" quotePrefix="0" xfId="0"/>
    <xf numFmtId="164" fontId="2" fillId="0" borderId="0" pivotButton="0" quotePrefix="0" xfId="0"/>
    <xf numFmtId="165"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03" customWidth="1" min="3" max="3"/>
    <col width="103" customWidth="1" min="4" max="4"/>
    <col width="103" customWidth="1" min="5" max="5"/>
    <col width="103" customWidth="1" min="6" max="6"/>
    <col width="103" customWidth="1" min="7" max="7"/>
    <col width="103" customWidth="1" min="8" max="8"/>
    <col width="103" customWidth="1" min="9" max="9"/>
    <col width="103" customWidth="1" min="10" max="10"/>
    <col width="103" customWidth="1" min="11" max="11"/>
  </cols>
  <sheetData>
    <row r="1">
      <c r="A1" s="1" t="inlineStr">
        <is>
          <t>Seller Glid</t>
        </is>
      </c>
      <c r="B1" s="1" t="inlineStr">
        <is>
          <t>Buyer Glid</t>
        </is>
      </c>
      <c r="C1" s="1" t="inlineStr">
        <is>
          <t>User Details</t>
        </is>
      </c>
      <c r="D1" s="1" t="inlineStr">
        <is>
          <t>Product Details</t>
        </is>
      </c>
      <c r="E1" s="1" t="inlineStr">
        <is>
          <t>Past Conversation</t>
        </is>
      </c>
      <c r="F1" s="1" t="inlineStr">
        <is>
          <t>Ongoing Conversation</t>
        </is>
      </c>
      <c r="G1" s="1" t="inlineStr">
        <is>
          <t>Existing MagicPen Response (Gemini 2.5 Flash Lite)</t>
        </is>
      </c>
      <c r="H1" s="1" t="inlineStr">
        <is>
          <t>Prompt Version 2 (Gemini 3.5 Flash)</t>
        </is>
      </c>
      <c r="I1" s="1" t="inlineStr">
        <is>
          <t>Prompt Version 2 (GPT-5.4 Nano)</t>
        </is>
      </c>
      <c r="J1" s="1" t="inlineStr">
        <is>
          <t>Prompt Version 2 (GPT-5.4 Mini)</t>
        </is>
      </c>
      <c r="K1" s="1" t="inlineStr">
        <is>
          <t>New Prompt Version 2 (Gemma 4 26B)</t>
        </is>
      </c>
    </row>
    <row r="2">
      <c r="A2" t="n">
        <v>77412283</v>
      </c>
      <c r="B2" t="n">
        <v>200446851</v>
      </c>
      <c r="C2" t="inlineStr">
        <is>
          <t>------------Medicine Planet Details:------Name=Aman City=New Delhi State=Delhi Phone=08047656025 Company=Medicine Planet Company URL=https://www.indiamart.com/medicine-planet/</t>
        </is>
      </c>
      <c r="D2" t="inlineStr">
        <is>
          <t>------Aman deals in Stelara 90 Mg which has the following product details:------
 Name=USTEKIREL 90mg USTEKINUMAB
 Price=INR 62800 per Vial
 Description=&lt;p&gt;Ustekirel 90mg Injection contains the active substance Ustekinumab. It is a monoclonal antibody that belongs to the group of medications called interleukin inhibitors. Monoclonal antibodies are specific proteins that identify and bind to certain proteins in the body. It treats moderate to severe plaque psoriasis (skin disease with red and scaly patches on some body areas). It is used alone or in combination with other medicines to treat active psoriatic arthritis (a condition that causes joint pain, swelling, and scales on the skin) in adults.&amp;nbsp;&lt;/p&gt;
 &lt;p&gt;Ustekirel 90mg Injection is also indicated to treat moderate to severe Crohn&amp;rsquo;s disease and ulcerative colitis in adults. Both are inflammatory bowel diseases. Crohn&amp;rsquo;s disease is a condition in which the body attacks the lining of the digestive tract, causing abdominal pain, diarrhoea, weight loss, and fever. Ulcerative colitis is a condition that causes swelling and sores in the lining of the colon (large intestine) and rectum. Do not use this medicine if you are pregnant or breastfeeding.&amp;nbsp;&amp;nbsp;&lt;/p&gt;
 &lt;p&gt;Do not take Ustekirel 90mg Injection if you are allergic to Ustekinumab or any of the other ingredients of this medicine. Do not take this medicine if you have any active infections. Inform your doctor if you recently had tuberculosis, skin diseases, allergies, or other diseases. Tell your doctor if you are taking other treatments for psoriasis or psoriatic arthritis. This medicine is not recommended for use in children under 18 years of age with Crohn&amp;rsquo;s disease or ulcerative colitis.&lt;/p&gt;
 Uses of Ustekirel 90mg Injection
 &lt;ul&gt;
 &lt;li&gt;Plaque psoriasis&lt;/li&gt;
 &lt;li&gt;Psoriatic arthritis&lt;/li&gt;
 &lt;li&gt;Crohn&amp;rsquo;s disease&lt;/li&gt;
 &lt;li&gt;Ulcerative colitis&lt;/li&gt;
 &lt;/ul&gt;
 Therapeutic Effects of Ustekirel 90mg Injection
 &lt;p&gt;Ustekirel 90mg Injection is a monoclonal antibody that binds specifically to certain signalling proteins (interleukin-12 and interleukin-23) in the body, which is involved in inflammatory and immune responses. It works by targeting, neutralising, and stopping the action of certain cells in the body that cause the symptoms of certain diseases.&lt;/p&gt;
 Interaction of Ustekirel 90mg Injection with other drugs
 &lt;p&gt;Inform your healthcare provider about all the medicines that you take, including prescription, over-the-counter, recent vaccinations, nutritional and vitamin supplements, and herbal products. Certain medications may interact with Ustekirel 90mg Injection and reduce its effectiveness by causing undesirable side effects.&lt;/p&gt;
 More Information about Ustekirel 90mg Injection
 &lt;ul&gt;
 &lt;li&gt;Store Ustekirel 90mg Injection in the refrigerator (2&amp;deg;C to 8&amp;deg;C)&lt;/li&gt;
 &lt;li&gt;Do not freeze&lt;/li&gt;
 &lt;li&gt;keep the injection away from the reach of children and pets.&lt;/li&gt;
 &lt;li&gt;Do not shake the vials because prolonged shaking may damage the effectiveness of the medicine.&lt;/li&gt;
 &lt;/ul&gt;
 How to consume Ustekirel 90mg Injection
 &lt;p&gt;It will be given to you by a doctor or nurse in a hospital or clinic setting. It is given as an intravenous infusion (into your vein). Do not self-administer the injection. Your doctor will decide the dose and duration of the treatment based on your disease severity, body weight, and other factors.&lt;/p&gt;
 Pack Size=1 vial
 Shelf Life=24 months
 Storage Condition=2â€“8Â°C
 Strength=90 mg
 Usage/Application=Crohnâ€™s disease
 Brand=Other branded
 Composition=Ustekinumab 90 mg
 Dosage Form=Vial</t>
        </is>
      </c>
      <c r="E2" t="inlineStr">
        <is>
          <t>------Aman replying pattern: Whenever Aman receives an order inquiry for the product Stelara 90 Mg from any buyer, mentioned are the 4 different chat conversation between Aman &amp; buyer. Use this to detect the seller replying pattern.------
 Conversation 1:
 Seller=We hope you had an amazing experience with us. Don't forget to provide a quick review.
 Seller=Hi Surya,
 Thanks for your Enquiry to Medicine Planet, New Delhi.
 Please find my catalog : https://www.indiamart.com/medicine-planet/anti-cancer-injection.html
 Do you need STELARA 130MG/26 ML (USTEKINUMAB )?
 Seller=Hi Surya, thanks for your enquiry, we will respond soon
 Conversation 2:
 Seller=We hope you had an amazing experience with us. Don't forget to provide a quick review.
 Seller=Hi C,
 Thanks for your Enquiry to Medicine Planet, New Delhi.
 Please find my catalog : https://www.indiamart.com/medicine-planet/anti-cancer-injection.html
 Do you need STELARA 130MG/26 ML (USTEKINUMAB )?
 Seller=Hi C, thanks for your enquiry, we will respond soon
 Conversation 3:
 Seller=We hope you had an amazing experience with us. Don't forget to provide a quick review.
 Seller=Hi Sudesh,
 Thanks for your Enquiry to Medicine Planet, New Delhi.
 Please find my catalog : https://www.indiamart.com/medicine-planet/anti-cancer-injection.html
 Do you need STELARA 130MG/26 ML (USTEKINUMAB )?
 Seller=Hi Sudesh, thanks for your enquiry, we will respond soon
 Conversation 4:
 Seller=We hope you had an amazing experience with us. Don't forget to provide a quick review.</t>
        </is>
      </c>
      <c r="F2" t="inlineStr">
        <is>
          <t>------Now Aman received an order inquiry for the product Stelara 90 Mg from a buyer named Mangesh from a city Pune. Below is the conversation which is taking place between Mangesh and Aman for the inquired product:------
 Buyer: Strength:90 mg Buyer: 
  Seller: Hi Mangesh, thanks for your inquiry about Ustekirel 90mg. Please let me know the quantity you need and I will share the price with you.
  Seller: Hi Mangesh,
 Thanks for your Enquiry to Medicine Planet, New Delhi.
 Please find my catalog : https://www.indiamart.com/medicine-planet/anti-cancer-injection.html
 Do you need Stelara 90 Mg?
  Seller: Thanks for your enquiry, we will respond soon</t>
        </is>
      </c>
      <c r="G2" t="inlineStr">
        <is>
          <t>Response: Yes, I have Stelara 90 Mg. How many vials do you need?</t>
        </is>
      </c>
      <c r="H2" t="inlineStr">
        <is>
          <t>mg. The seller already asked: "Do you need Stelara 90 Mg?" and "</t>
        </is>
      </c>
      <c r="I2" t="inlineStr">
        <is>
          <t>Response: Ustekirel 90mg (Stelara) is available. Price is INR 62,800 per vial (1 vial). Tell me your required quantity and delivery timeline for Pune.</t>
        </is>
      </c>
      <c r="J2" t="inlineStr">
        <is>
          <t>Response: Please share the quantity you need, and I will send you the best price for Ustekirel 90mg.</t>
        </is>
      </c>
      <c r="K2" t="inlineStr">
        <is>
          <t>Response: The price for Ustekirel 90mg is INR 62,800 per vial. How many vials would you like to order for delivery to Pune?</t>
        </is>
      </c>
    </row>
    <row r="3">
      <c r="A3" t="n">
        <v>2599079</v>
      </c>
      <c r="B3" t="n">
        <v>243890758</v>
      </c>
      <c r="C3" t="inlineStr">
        <is>
          <t>------------Meena Enterprises Details:------Name=Akirat City=Kanpur State=Uttar Pradesh Phone=08047644284 Company=Meena Enterprises Company URL=https://www.indiamart.com/meenaentpkanpur/</t>
        </is>
      </c>
      <c r="D3" t="inlineStr">
        <is>
          <t>------Akirat deals in Play School Furniture which has the following product details:------
 Name=Kids Play School Furniture
 Price=INR 2000 per Piece
 Description=These sets can help children learn in an organized way.&amp;nbsp;The chairs are often similar to conventional school chairs, with a spindly appearance that allows children to sit independently.&amp;nbsp;
 Seating Capacity=8
 Age of Kid=1 to 3 Year##4 To 8 Year
 Brand=Meena
 Finishing=Color Coated
 Material=Wooden
 Plywood Thickness=15 to 18 mm</t>
        </is>
      </c>
      <c r="E3" t="inlineStr">
        <is>
          <t>------Akirat replying pattern: Whenever Akirat receives an order inquiry for the product Play School Furniture from any buyer, mentioned are the 1 different chat conversation between Akirat &amp; buyer. Use this to detect the seller replying pattern.------
 Conversation 1:
 Seller=Hi Abhishek,
 Thanks for your Enquiry to Meena Enterprises, Kanpur.
 Please find my catalog : https://www.indiamart.com/meenaentpkanpur/school-furniture.html
 Do you need Meena Kids Play School Furniture?
 Seller=We hope you had an amazing experience with us. Don't forget to provide a quick review.</t>
        </is>
      </c>
      <c r="F3" t="inlineStr">
        <is>
          <t>------Now Akirat received an order inquiry for the product Play School Furniture from a buyer named Priyanka from a city Jhansi. Below is the conversation which is taking place between Priyanka and Akirat for the inquired product:------
 Buyer: Probable Order Value:Rs. 1 to 2 Lakh Probable Requirement Type:Business Use Quantity:24 Set Shape:Rectangular Age Group:3-6 years Material:Plastic Seller: Hi Priyanka,
 Greetings from Meena Enterprises, Kanpur. We have received your Enquiry for 24 Set of Play School Furniture.
 Please check our catalog : https://www.indiamart.com/meenaentpkanpur/
 call us at 08047644284
 Are you still looking for this product?
  Seller: We hope you had an amazing experience with us. Don't forget to provide a quick review.
  Seller: Yes, Play School Furniture is available
  Seller: Kids Play School Furniture
 Price: INR 2800/set
 https://www.indiamart.com/proddetail/19256546262.html
  Seller: Hi Priyanka, Kids Play School Furniture is available for INR 2800 per set. Let me know if you need more details or want to place an order!</t>
        </is>
      </c>
      <c r="G3" t="inlineStr">
        <is>
          <t>Response: Our Kids Play School Furniture is made of wood and is color-coated. It's perfect for kids aged 1 to 8 years.</t>
        </is>
      </c>
      <c r="H3" t="inlineStr">
        <is>
          <t>Response: Would you like me to share the delivery charges and estimated time for Jh</t>
        </is>
      </c>
      <c r="I3" t="inlineStr">
        <is>
          <t>Response: Great! We can supply Kids Play School Furniture sets to Jhansi as per your requirement. Share your delivery timeline, and we’ll confirm availability and arrange the order.</t>
        </is>
      </c>
      <c r="J3" t="inlineStr">
        <is>
          <t>Response: Kids Play School Furniture is available in wooden material. Please let me know if you want the full set details or order confirmation.</t>
        </is>
      </c>
      <c r="K3" t="inlineStr">
        <is>
          <t>Since there is no new message from Priyanka in the provided history, I will assume she has acknowledged the price or is considering the order. However, based on the instruction to respond to the latest intent, and seeing that the last message was from the Seller, I will provide a follow-up to prompt her decision.
Response: Should I prepare the proforma invoice for your 24 sets to Jhansi, or would you like to see more designs first?</t>
        </is>
      </c>
    </row>
    <row r="4">
      <c r="A4" t="n">
        <v>6736578</v>
      </c>
      <c r="B4" t="n">
        <v>270920439</v>
      </c>
      <c r="C4" t="inlineStr">
        <is>
          <t>------------Chintamani Engineers Details:------Name=Chintamani City=Kolhapur State=Maharashtra Phone=07949303190 Company=Chintamani Engineers Company URL=https://www.indiamart.com/chintamani-engineers-kolhapur/</t>
        </is>
      </c>
      <c r="D4" t="inlineStr">
        <is>
          <t>------Chintamani deals in Single Phase Electric Motor which has the following product details:------
 Name=Electric Motor 1 HP to 25 HP
 Price=INR 7030 per Piece
 Description=&lt;p dir="ltr"&gt;Chaff cutter 2 h. P. 3 h. P. Single or three phase ele. Motor&lt;br&gt;
 ELE. MOTOR REPLECE 1 YEAR GARENTY&lt;br&gt;
 &lt;/p&gt;
 Voltage=230
 Weight=35
 IP Rating=IP21
 Motor Type=Capacitor Start/Run
 Rated Power=&lt;10 KW
 Surface Finish=H
 Thickness=G
 Body Material=Cast Iron
 Brand=Laxmi
 Finish=G
 Phase=Single Phase
 Type=Di
 Application=Compressor
 Color=Gray
 Material=CI
 Mounting Type=Foot Mount
 Winding Material=Copper
 Number Of Poles=2
 Power=3 HP
 Speed=1440 RPM
 Speed (RPM)=1440</t>
        </is>
      </c>
      <c r="E4" t="inlineStr">
        <is>
          <t>------Chintamani replying pattern: Whenever Chintamani receives an order inquiry for the product Single Phase Electric Motor from any buyer, mentioned are the 1 different chat conversation between Chintamani &amp; buyer. Use this to detect the seller replying pattern.------
 Conversation 1:
 Seller=Thanking you For Connecting Chintamani Engineers Kolhapur We are Manufactured
 All Kind Of Multi Purpose Chaff Cutter Machine, Domestic flour mill,
 Stone Atta Chakki , Grinding pulverizer , Cyclone Pulvelizer ,
 Gravy Machine ,Chilly Cutter, Vegetable Cutter, Brush cutter ,
 Chain saw , HTP Pump,Earth Dril , Atta Malni machine( Dough kneader
 machine), MINI Rice mill , Mirchi Kandap Machine ( Dang), Sevai
 Machine , Potato Peeler &amp;amp; Slicer Machine,Namkin ( Farsan ) Machine
 manufactured
 Chintamani Engineers Kaneri,KaneriMath road near Gokul shirgoan MIDC
 Kolhapur Maharashtra what's app mob **********
 www.Chintamanichaffcutter.com
 https://youtube.com/user/chintramani
 Seller=Electric Motor 1 HP to 25 HP
 Price: INR 7030/Piece
 https://www.indiamart.com/proddetail/1**********.html
 Seller=Thanking you For Connecting Chintamani Engineers Kolhapur We are Manufactured
 All Kind Of Multi Purpose Chaff Cutter Machine, Domestic flour mill,
 Stone Atta Chakki , Grinding pulverizer , Cyclone Pulvelizer ,
 Gravy Machine ,Chilly Cutter, Vegetable Cutter, Brush cutter ,
 Chain saw , HTP Pump,Earth Dril , Atta Malni machine( Dough kneader
 machine), MINI Rice mill , Mirchi Kandap Machine ( Dang), Sevai
 Machine , Potato Peeler &amp;amp; Slicer Machine,Namkin ( Farsan ) Machine
 manufactured
 Chintamani Engineers Kaneri,KaneriMath road near Gokul shirgoan MIDC
 Kolhapur Maharashtra what's app mob **********
 www.Chintamanichaffcutter.com
 https://youtube.com/user/chintramani</t>
        </is>
      </c>
      <c r="F4" t="inlineStr">
        <is>
          <t>------Now Chintamani received an order inquiry for the product Single Phase Electric Motor from a buyer named ANNAPURNA from a city Ramdurg. Below is the conversation which is taking place between ANNAPURNA and Chintamani for the inquired product:------
 Buyer: Seller: Electric Motor 1 HP to 25 HP
 Price: INR 7030/Piece
 https://www.indiamart.com/proddetail/16648181373.html
  Seller: Namaste ANNAPURNA, humare Electric Motor ka price INR 7030 hai. Aapko kitne pieces chahiye?</t>
        </is>
      </c>
      <c r="G4" t="inlineStr">
        <is>
          <t>Response: humare paas 2 HP, 3 HP, 5 HP, 7.5 HP, 10 HP, 15 HP, 20 HP, 25 HP ke motors available hain. Aapko konsa chahiye?</t>
        </is>
      </c>
      <c r="H4" t="inlineStr">
        <is>
          <t>NA, humare Electric Motor ka price INR 7030 hai. Aapko</t>
        </is>
      </c>
      <c r="I4" t="inlineStr">
        <is>
          <t>Response: Namaste ANNAPURNA, Electric Motor 1 HP to 25 HP ka price INR 7030 per piece hai. Aapko hum single phase motor kis HP capacity ka chahiye?</t>
        </is>
      </c>
      <c r="J4" t="inlineStr">
        <is>
          <t>Response: 3 HP single phase motor available hai. Aap 1 piece chahiye ya zyada?</t>
        </is>
      </c>
      <c r="K4" t="inlineStr">
        <is>
          <t>Response: Humare paas Laxmi brand ke copper winding motors available hain. Aapko kitni quantity mein order dena hai?</t>
        </is>
      </c>
    </row>
    <row r="5">
      <c r="A5" t="n">
        <v>57479406</v>
      </c>
      <c r="B5" t="n">
        <v>68965670</v>
      </c>
      <c r="C5" t="inlineStr">
        <is>
          <t>------------Neelkamal Bright Details:------Name=Hitesh City=Pune State=Maharashtra Phone=08047847550 Company=Neelkamal Bright Company URL=https://www.indiamart.com/neelkamalbright/</t>
        </is>
      </c>
      <c r="D5" t="inlineStr">
        <is>
          <t>------Hitesh deals in MS Hexagonal Bars which has the following product details:------
 Name=Mild Steel Hex Bar
 Price=INR 70 per Kilogram
 Description=We have established ourselves as coveted organization, involved in offering&amp;nbsp;&lt;b&gt;Mild Steel Round Bar.&lt;/b&gt;
 Usage/Application=Manufacturing
 Brand=Nakoda Group
 Country of Origin=Made in India
 Material=Mild Steel
 Shape=Hex
 Single Piece Length=3 m
 Size/Dimension=8 MM - 60 MM
 Surface Finish=Polished</t>
        </is>
      </c>
      <c r="E5" t="n">
        <v/>
      </c>
      <c r="F5" t="inlineStr">
        <is>
          <t>------Now Hitesh received an order inquiry for the product MS Hexagonal Bars from a buyer named Ashish from a city Prayagraj. Below is the conversation which is taking place between Ashish and Hitesh for the inquired product:------
 Buyer: Grade:Mild Steel Probable Order Value:Rs. 50 - 55 Quantity:1 Kg Surface Finish:Bright Buyer Filled Details:14 mm, 7 foot Seller: Hi Ashish,
 Greetings from Neelkamal Bright, Pune. We have received your Enquiry for 1 Kg of MS Hexagonal Bars.
 Please check our catalog : https://www.indiamart.com/neelkamalbright/
 call us at&amp;nbsp;9371012362
 Are you still looking for this product?
  Buyer: Additional details from Buyer
  Seller: Hi Ashish, thanks! We can supply 1 Kg MS Hexagonal Bar (14 mm, 7 ft, Mild Steel) in bright finish. Delivery to Prayagraj. Please confirm if you need any specific grade/spec?</t>
        </is>
      </c>
      <c r="G5" t="inlineStr">
        <is>
          <t>Response: We can supply the 14 mm, 7 ft MS Hexagonal Bar in bright finish. What is the specific grade you are looking for?</t>
        </is>
      </c>
      <c r="H5" t="inlineStr">
        <is>
          <t>Response: Please let me know your preferred delivery timeline so we can share the final quote with shipping</t>
        </is>
      </c>
      <c r="I5" t="inlineStr">
        <is>
          <t>Response: Hi Ashish, we can make it in Mild Steel bright finish, 14 mm, length 7 ft. For Prayagraj delivery, confirm the packing/dispatch timeline you prefer.</t>
        </is>
      </c>
      <c r="J5" t="inlineStr">
        <is>
          <t>Response: 14 mm bright MS hex bar is available. Please share your delivery address in Prayagraj, and I will send the best price.</t>
        </is>
      </c>
      <c r="K5" t="inlineStr">
        <is>
          <t>Response: Our price is ₹70 per kg. Should I share the final proforma invoice including shipping charges to Prayagraj?</t>
        </is>
      </c>
    </row>
    <row r="6">
      <c r="A6" t="n">
        <v>40265545</v>
      </c>
      <c r="B6" t="n">
        <v>10743706</v>
      </c>
      <c r="C6" t="inlineStr">
        <is>
          <t>------------The Heritage Stones Company Details:------Name=RAVI City=Gwalior State=Madhya Pradesh Phone=07942822520 Company=The Heritage Stones Company Company URL=https://www.theheritagestonescompany.in/</t>
        </is>
      </c>
      <c r="D6" t="inlineStr">
        <is>
          <t>------RAVI deals in Cobblestone Machine Cut which has the following product details:------
 Name=Red Granite Cobblestones
 Price=INR 2800 per sq ft
 Description=&lt;p dir="ltr"&gt;Established in 2021, The Heritage Stones Company is a famous Wholesale Trader of a Grey Mint Sandstone, Red Sandstone Slab and much more.&lt;/p&gt;
 Edge Finish=Hand Cut
 Form=Loose Stone
 Stone Size=200x100 mm
 Surface Finish=Flamed
 Thickness=80 mm
 Application Area=Pathway
 Color=1000
 Size=100 mm
 Stone Color=Grey
 Stone Origin=Andhra Pradesh
 Type=Outdoor</t>
        </is>
      </c>
      <c r="E6" t="n">
        <v/>
      </c>
      <c r="F6" t="inlineStr">
        <is>
          <t>------Now RAVI received an order inquiry for the product Cobblestone Machine Cut from a buyer named Shiv from a city Mumbai. Below is the conversation which is taking place between Shiv and RAVI for the inquired product:------
 Buyer: Probable Requirement Type:Business Use Quantity:100000 Piece Buyer Filled Details:Buyer needs machine cut cobble stone to be supplied in pallets, with a bush hammer finish in black granite and a rough finish in à¤¸à¤¦à¤°à¤²à¥€ à¤—à¥à¤°à¥‡ granite. Probable Order Value:Rs. 13.5 - 18 Lakh Seller: Can you please share more details about your requirement?
  Seller: We hope you had an amazing experience with us. Don't forget to provide a quick review.
  Seller: Hi Shiv, we can supply 100000 pieces of Cobblestone Machine Cut in black granite and à¤¸à¤¦à¤°à¤²à¥€ à¤—à¥à¤°à¥‡ granite. What's your preferred delivery timeline?
  Seller: Hi Shiv, we can deliver 100000 pieces of Cobblestone Machine Cut. Could you please share your preferred delivery timeline and budget? Looking forward to your reply!
  Seller:</t>
        </is>
      </c>
      <c r="G6" t="inlineStr">
        <is>
          <t>Response: We can do both finishes for you. What's your timeline for delivery?</t>
        </is>
      </c>
      <c r="H6" t="inlineStr">
        <is>
          <t>Response: Please let us know your preferred delivery timeline and if you require the</t>
        </is>
      </c>
      <c r="I6" t="inlineStr">
        <is>
          <t>Response: Perfect—once you confirm pallet size and delivery date for Mumbai, we’ll start production and dispatch 100000 machine cut cobblestones in black granite (bush hammer) and red granite (rough).</t>
        </is>
      </c>
      <c r="J6" t="inlineStr">
        <is>
          <t>Response: We can supply as per your requirement in Mumbai. Please share the exact granite shade and delivery address, so I can give you the best quote.</t>
        </is>
      </c>
      <c r="K6" t="inlineStr">
        <is>
          <t>Response: We can certainly manage the pallets and specific finishes you need. Please let us know your preferred delivery timeline so we can plan the shipment to Mumbai.</t>
        </is>
      </c>
    </row>
    <row r="7">
      <c r="A7" t="n">
        <v>40265545</v>
      </c>
      <c r="B7" t="n">
        <v>10743706</v>
      </c>
      <c r="C7" t="inlineStr">
        <is>
          <t>------------The Heritage Stones Company Details:------Name=RAVI City=Gwalior State=Madhya Pradesh Phone=07942822520 Company=The Heritage Stones Company Company URL=https://www.theheritagestonescompany.in/</t>
        </is>
      </c>
      <c r="D7" t="inlineStr">
        <is>
          <t>------RAVI deals in Cobblestone Machine Cut which has the following product details:------
 Name=Red Granite Cobblestones
 Price=INR 2800 per sq ft
 Description=&lt;p dir="ltr"&gt;Established in 2021, The Heritage Stones Company is a famous Wholesale Trader of a Grey Mint Sandstone, Red Sandstone Slab and much more.&lt;/p&gt;
 Color=1000
 Form=Loose Stone
 Stone Origin=Andhra Pradesh
 Thickness=80 mm
 Type=Outdoor
 Application Area=Pathway
 Size=100 mm
 Stone Color=Grey
 Stone Size=200x100 mm
 Surface Finish=Flamed
 Edge Finish=Hand Cut</t>
        </is>
      </c>
      <c r="E7" t="n">
        <v/>
      </c>
      <c r="F7" t="inlineStr">
        <is>
          <t>------Now RAVI received an order inquiry for the product Cobblestone Machine Cut from a buyer named Shiv from a city Mumbai. Below is the conversation which is taking place between Shiv and RAVI for the inquired product:------
 Buyer: Quantity:100000 Piece Buyer Filled Details:Buyer needs machine cut cobble stone to be supplied in pallets, with a bush hammer finish in black granite and a rough finish in à¤¸à¤¦à¤°à¤²à¥€ à¤—à¥à¤°à¥‡ granite. Probable Order Value:Rs. 13.5 - 18 Lakh Probable Requirement Type:Business Use Seller: Can you please share more details about your requirement?
  Seller: We hope you had an amazing experience with us. Don't forget to provide a quick review.
  Seller: Hi Shiv, we can supply 100000 pieces of Cobblestone Machine Cut in black granite and à¤¸à¤¦à¤°à¤²à¥€ à¤—à¥à¤°à¥‡ granite. What's your preferred delivery timeline?
  Seller: Hi Shiv, we can deliver 100000 pieces of Cobblestone Machine Cut. Could you please share your preferred delivery timeline and budget? Looking forward to your reply!
  Seller:</t>
        </is>
      </c>
      <c r="G7" t="inlineStr">
        <is>
          <t>Response: We can supply both black and South Indian granite in bush hammer finish. What's your budget for this order?</t>
        </is>
      </c>
      <c r="H7" t="inlineStr">
        <is>
          <t>Response: Please let us know your convenient time to discuss the delivery schedule and pricing for Mumbai.</t>
        </is>
      </c>
      <c r="I7" t="inlineStr">
        <is>
          <t>Response: Great, Shiv. We can pack the machine-cut cobbles in pallets for Mumbai delivery. Please confirm if you want black granite bush hammer and садरली‌ rough (sandstone) same size and thickness.</t>
        </is>
      </c>
      <c r="J7" t="inlineStr">
        <is>
          <t>Response: We can supply in pallets. Please share the finish and granite color you want, and I’ll confirm the best option for Mumbai delivery.</t>
        </is>
      </c>
      <c r="K7" t="inlineStr">
        <is>
          <t>Response: Also, since you need them in pallets, should we arrange the shipping to Mumbai directly to your warehouse or a specific site?</t>
        </is>
      </c>
    </row>
    <row r="8">
      <c r="A8" t="n">
        <v>40265545</v>
      </c>
      <c r="B8" t="n">
        <v>110370626</v>
      </c>
      <c r="C8" t="inlineStr">
        <is>
          <t>------------The Heritage Stones Company Details:------Name=RAVI City=Gwalior State=Madhya Pradesh Phone=07942822520 Company=The Heritage Stones Company Company URL=https://www.theheritagestonescompany.in/</t>
        </is>
      </c>
      <c r="D8" t="n">
        <v/>
      </c>
      <c r="E8" t="n">
        <v/>
      </c>
      <c r="F8" t="inlineStr">
        <is>
          <t>------Now RAVI received an order inquiry for the product Limestone from a buyer named Raju from a city Morena. Below is the conversation which is taking place between Raju and RAVI for the inquired product:------
 Buyer: Seller: Hi Raju, I can provide Limestone, but please let me know the quantity you need and if you have a budget in mind. Looking forward to your reply!</t>
        </is>
      </c>
      <c r="G8" t="inlineStr">
        <is>
          <t>Response: I can help you with Limestone. What quantity do you need, and what's your budget?</t>
        </is>
      </c>
      <c r="H8" t="inlineStr">
        <is>
          <t>Response: Since Morena is very close to Gwalior, we can easily deliver the limestone</t>
        </is>
      </c>
      <c r="I8" t="inlineStr">
        <is>
          <t>Response: Hi Raju, I can supply Limestone. Please share your needed quantity and your budget range, and I’ll check availability and delivery to Morena.</t>
        </is>
      </c>
      <c r="J8" t="inlineStr">
        <is>
          <t>Response: Morena ke liye Limestone available hai. Aap kitni quantity chahte hain?</t>
        </is>
      </c>
      <c r="K8" t="inlineStr">
        <is>
          <t>Response: Please let me know the quantity you need and your budget so I can give you the best price.</t>
        </is>
      </c>
    </row>
    <row r="9">
      <c r="A9" t="n">
        <v>203498433</v>
      </c>
      <c r="B9" t="n">
        <v>258153601</v>
      </c>
      <c r="C9" t="inlineStr">
        <is>
          <t>------------Mohindra Machine Details:------Name=AZAD City=Amritsar State=Punjab Phone=07942965014 Company=Mohindra Machine Company URL=https://www.mohindramachine.in/</t>
        </is>
      </c>
      <c r="D9" t="inlineStr">
        <is>
          <t>------AZAD deals in Non Woven Flexo Printing Machine which has the following product details:------
 Name=Non Woven Flexo Printing Machine
 Price=INR 1000000 per Piece
 Description=We are engaged in offering this product to our clients. All our products have been widely appreciated by our customers.
 Material=Iron
 Max Printing Length=0-500 (mm)
 Printing Speed=120 m/min
 Usage/Application=Paper
 Capacity=250 sheets/min
 Color Printing=Color Printing
 Country of Origin=Made in India
 Color Output=4
 Machine Type=Automatic
 Number Of Colors=4</t>
        </is>
      </c>
      <c r="E9" t="n">
        <v/>
      </c>
      <c r="F9" t="inlineStr">
        <is>
          <t>------Now AZAD received an order inquiry for the product Non Woven Flexo Printing Machine from a buyer named Naresh from a city Chitradurga. Below is the conversation which is taking place between Naresh and AZAD for the inquired product:------
 Buyer:Buyer searched for single color drum printing machine and single color roll printing machine near Chitradurga Finance/Loan Requirement:No Probable Requirement Type:Business Use Capacity:250 sheets/min Seller: Hi Naresh, thanks for your enquiry, we will respond soon
  Seller: Hi Naresh, can you please share more details about your requirement?
  Seller: 
  Seller: Naresh, could you please confirm the quantity you need for the Non Woven Flexo Printing Machine? The price is INR 1000000 per piece.
  Seller: Hi Naresh,
 Your requirement for Non Woven Flexo Printing Machine on IndiaMART has been received.
 We attempted to reach you regarding your requirement, but were unable to connect. Please reach out to us or share suitable time to discuss</t>
        </is>
      </c>
      <c r="G9" t="inlineStr">
        <is>
          <t>Response: We can discuss the Non Woven Flexo Printing Machine further. Please let us know a convenient time.</t>
        </is>
      </c>
      <c r="H9" t="inlineStr">
        <is>
          <t>Answering this can help you decide.
    *   *Option 2:* Are</t>
        </is>
      </c>
      <c r="I9" t="inlineStr">
        <is>
          <t>Response: Hi Naresh, thanks for sharing your details. We can supply the Non Woven Flexo Printing Machine for business use; please let us know your delivery timeline and preferred payment mode.</t>
        </is>
      </c>
      <c r="J9" t="inlineStr">
        <is>
          <t>Response: Please share your suitable time, and I will call you to discuss the machine details.</t>
        </is>
      </c>
      <c r="K9" t="inlineStr">
        <is>
          <t>Response: Naresh, please let me know a good time to call you so we can discuss your business requirements for the machine.</t>
        </is>
      </c>
    </row>
    <row r="10">
      <c r="A10" t="n">
        <v>203498433</v>
      </c>
      <c r="B10" t="n">
        <v>218995034</v>
      </c>
      <c r="C10" t="inlineStr">
        <is>
          <t>------------Mohindra Machine Details:------Name=AZAD City=Amritsar State=Punjab Phone=07942965014 Company=Mohindra Machine Company URL=https://www.mohindramachine.in/</t>
        </is>
      </c>
      <c r="D10" t="n">
        <v/>
      </c>
      <c r="E10" t="n">
        <v/>
      </c>
      <c r="F10" t="inlineStr">
        <is>
          <t>------Now AZAD received an order inquiry for the product PAPER Plate Lamination Machine with Cutter from a buyer named Rohit from a city Madhubani. Below is the conversation which is taking place between Rohit and AZAD for the inquired product:------
 Buyer: Automation Grade:Manual Lamination Width:30 inch Probable Requirement Type:Business Use Seller: Hi Rohit, thanks for your enquiry, we will respond soon
  Seller: Hi Rohit, can you please share more details about your requirement?
  Seller: 
  Seller: Hi Rohit, please let me know the quantity you need for the PAPER Plate Lamination Machine with Cutter. Also, would you like to know the price?
  Seller: Hi Rohit,
 Your requirement for PAPER Plate Lamination Machine with Cutter on IndiaMART has been received.
 We attempted to reach you regarding your requirement, but were unable to connect. Please reach out to us or share suitable time to discuss</t>
        </is>
      </c>
      <c r="G10" t="inlineStr">
        <is>
          <t>Response: We have received your order inquiry for the PAPER Plate Lamination Machine with Cutter. Please share your preferred time for a discussion.</t>
        </is>
      </c>
      <c r="H10" t="inlineStr">
        <is>
          <t>Response: Could you please let me know a convenient time to call you, or can we</t>
        </is>
      </c>
      <c r="I10" t="inlineStr">
        <is>
          <t>Response: Rohit ji, please share your preferred quantity and delivery location in Madhubani. We will send the best price and details of our 30-inch manual paper plate lamination machine with cutter.</t>
        </is>
      </c>
      <c r="J10" t="inlineStr">
        <is>
          <t>Response: Please share your suitable time. I can call and discuss the PAPER Plate Lamination Machine with Cutter details.</t>
        </is>
      </c>
      <c r="K10" t="inlineStr">
        <is>
          <t>Response: Please let me know a good time to call you so we can discuss the price and machine details for your business in Madhubani.</t>
        </is>
      </c>
    </row>
    <row r="11">
      <c r="A11" t="n">
        <v>4660951</v>
      </c>
      <c r="B11" t="n">
        <v>25647666</v>
      </c>
      <c r="C11" t="inlineStr">
        <is>
          <t>------------Jaiswal Opticals Details:------Name=Pradeep City=Bengaluru State=Karnataka Phone=08047646233 Company=Jaiswal Opticals Company URL=https://www.jaiswalopticals.net/</t>
        </is>
      </c>
      <c r="D11" t="n">
        <v/>
      </c>
      <c r="E11" t="n">
        <v/>
      </c>
      <c r="F11" t="inlineStr">
        <is>
          <t>------Now Pradeep received an order inquiry for the product from a buyer named Eliceo from a city Santa Ana. Below is the conversation which is taking place between Eliceo and Pradeep for the inquired product:------
 Buyer:- Send us quotation &amp; details of 'Stylish Eyewear Frames'. Seller: Hi Eliceo! I'll send you the quotation for Stylish Eyewear Frames. Can you please tell me the quantity you need? Thank you!
  Buyer: The blue-cut reading glasses 2?$
  Seller: Hi Eliceo! Thanks for your interest in the blue-cut reading glasses. Can you please confirm how many pairs you would like to order? I&amp;rsquo;ll provide the price after that!
  Buyer: 2
  Seller: Please find the catalog link:
 https://www.jaiswalopticals.net/
  Buyer: I want the blue light blocker reader with out augmented
  Seller: 9986772911 whatsapp this number
  Buyer: How much for 2 pairs?</t>
        </is>
      </c>
      <c r="G11" t="inlineStr">
        <is>
          <t>Response: The price for 2 pairs of blue light blocker readers is ₹1600. Would you like to proceed with the order?</t>
        </is>
      </c>
      <c r="H11" t="inlineStr">
        <is>
          <t>Response: Two pairs of zero-power blue light blocker glasses will cost $20</t>
        </is>
      </c>
      <c r="I11" t="inlineStr">
        <is>
          <t>Response: For 2 pairs of blue light blocker reading glasses (without augmented), pricing will be shared on WhatsApp at 9986772911. Send your power/size there and I’ll confirm the exact total.</t>
        </is>
      </c>
      <c r="J11" t="inlineStr">
        <is>
          <t>Response: For 2 pairs, blue light blocker reader without power is ₹299 each. Total ₹598. Shipping extra.</t>
        </is>
      </c>
      <c r="K11" t="inlineStr">
        <is>
          <t>Response: The price for 2 pairs of blue-cut reading glasses will be [Insert Price]. Would you like me to share the payment details to confirm your order?</t>
        </is>
      </c>
    </row>
    <row r="12">
      <c r="A12" t="n">
        <v>203498433</v>
      </c>
      <c r="B12" t="n">
        <v>242840519</v>
      </c>
      <c r="C12" t="inlineStr">
        <is>
          <t>------------Mohindra Machine Details:------Name=AZAD City=Amritsar State=Punjab Phone=07942965014 Company=Mohindra Machine Company URL=https://www.mohindramachine.in/</t>
        </is>
      </c>
      <c r="D12" t="inlineStr">
        <is>
          <t>------AZAD deals in Rotogravure Printing Machine which has the following product details:------
 Name=Rotogravure Printing Machine
 Price=INR 600000 per Piece
 Description=Entire machine built in very heavy cast iron frame with vibration free performance and beautiful look.Consist of a shaft made of alloy steel fitted with tapered C.I. cones for assembly specially designed the tension of the web is controlled by Clutch brake. An arrangement lateral displacement of the parent roll is also provided
 Ink Type=MEK
 Maximum Speed=250 m/min
 Printing Station=1/10
 Processed Materials=Aluminum Foil
 Size/Dimension=10/60
 Usage/Application=printing</t>
        </is>
      </c>
      <c r="E12" t="inlineStr">
        <is>
          <t>------AZAD replying pattern: Whenever AZAD receives an order inquiry for the product Rotogravure Printing Machine from any buyer, mentioned are the 2 different chat conversation between AZAD &amp; buyer. Use this to detect the seller replying pattern.------
 Conversation 1:
 Seller=Shaftless Rotogravure Printing Machine
 Price: INR 8000000/Piece
 https://www.indiamart.com/proddetail/2**********73.html
 Seller=Hi Suyash, yes, Shaftless Rotogravure Printing Machine is available
 Seller=Hi Suyash,
 Thanks for your Enquiry to Mohindra Machine, Amritsar.
 Please find my catalog : https://www.mohindramachine.in/rotogravure-printing-machine.html
 Do you need Shaftless Rotogravure Printing Machine?
 Conversation 2:
 Seller=Hi Master,
 Thanks for your Enquiry to Mohindra Machine, Amritsar.
 Please find my catalog : https://www.mohindramachine.in/rotogravure-printing-machine.html
 Do you need high speed Solventless rotogravure printing machine?
 Seller=Hi Master, yes, high speed Solventless rotogravure printing machine is available</t>
        </is>
      </c>
      <c r="F12" t="inlineStr">
        <is>
          <t>------Now AZAD received an order inquiry for the product Rotogravure Printing Machine from a buyer named Sadeeshkumar from a city Chennai. Below is the conversation which is taking place between Sadeeshkumar and AZAD for the inquired product:------
 Buyer: Finance/Loan Requirement:No Max Web Width:500 mm Maximum Speed:250 m/min Probable Requirement Type:Business Use Automatic Grade:Automatic Seller: Hi Sadeeshkumar,
 Greetings from Mohindra Machine, Amritsar. We have received your Enquiry for Rotogravure Printing Machine.
 Please check our catalog : https://www.mohindramachine.in/
 call us at 07942965014
 Are you still looking for this product?
  Seller: How many of Rotogravure Printing Machine do you need?
  Seller: Yes, Rotogravure Printing Machine is available
  Seller: We hope you had an amazing experience with us. Don't forget to provide a quick review.
  Seller: Hi Sadeeshkumar, thank you for your inquiry! How many Rotogravure Printing Machines do you need and what is your budget?</t>
        </is>
      </c>
      <c r="G12" t="inlineStr">
        <is>
          <t>Response: We have the Rotogravure Printing Machine available. How many units are you looking to purchase, Sadeeshkumar?</t>
        </is>
      </c>
      <c r="H12" t="inlineStr">
        <is>
          <t>Response: Could you please share your delivery location in Chennai so we can estimate</t>
        </is>
      </c>
      <c r="I12" t="inlineStr">
        <is>
          <t>Response: Perfect—our Rotogravure Printing Machine (MEK ink) runs up to 250 m/min for aluminum foil, with 10/60 size. Share your required quantity and delivery timeline for Chennai.</t>
        </is>
      </c>
      <c r="J12" t="inlineStr">
        <is>
          <t>Response: Yes, Rotogravure Printing Machine is available.</t>
        </is>
      </c>
      <c r="K12" t="inlineStr">
        <is>
          <t>Response: Our machine matches your 250 m/min speed requirement perfectly. Would you like me to send you a formal quotation for your business use?</t>
        </is>
      </c>
    </row>
    <row r="13">
      <c r="A13" t="n">
        <v>69692668</v>
      </c>
      <c r="B13" t="n">
        <v>182374869</v>
      </c>
      <c r="C13" t="inlineStr">
        <is>
          <t>------ Details:------ Name= City=</t>
        </is>
      </c>
      <c r="D13" t="n">
        <v/>
      </c>
      <c r="E13" t="n">
        <v/>
      </c>
      <c r="F13" t="inlineStr">
        <is>
          <t>------Now sent an order inquiry for the product to the seller named . Below is the conversation which is taking place between and for the inquired product:------
 Buyer:</t>
        </is>
      </c>
      <c r="G13" t="inlineStr">
        <is>
          <t>Response: Yes, we can definitely help you with that. What quantity are you looking for?</t>
        </is>
      </c>
      <c r="H13" t="inlineStr">
        <is>
          <t>Response: Hi, thank you for your inquiry. How can I help you today? Please share your</t>
        </is>
      </c>
      <c r="I13" t="inlineStr">
        <is>
          <t>Response: Hi! I can help with your order inquiry. Please share the product name and quantity, and I’ll check availability and send you the best price and delivery details.</t>
        </is>
      </c>
      <c r="J13" t="inlineStr">
        <is>
          <t>Response: Please share your requirement, I will help you with the best option.</t>
        </is>
      </c>
      <c r="K13" t="inlineStr">
        <is>
          <t>Please provide the **Buyer's message** and the **Product details** so I can generate the appropriate response for you.</t>
        </is>
      </c>
    </row>
    <row r="14">
      <c r="A14" t="n">
        <v>116861370</v>
      </c>
      <c r="B14" t="n">
        <v>271050323</v>
      </c>
      <c r="C14" t="inlineStr">
        <is>
          <t>------------Pawan Textiles Company Details:------Name=Pawan City=Aligarh State=Uttar Pradesh Phone=08048211334 Company=Pawan Textiles Company Company URL=https://www.indiamart.com/pawantextilescompany/</t>
        </is>
      </c>
      <c r="D14" t="inlineStr">
        <is>
          <t>------Pawan deals in Girls School Uniform Check Skirt which has the following product details:------
 Name=School Uniform Skirt
 Price=INR 121 per Piece
 Description=A school uniform is a standard set of clothes that students wear when they go to some schools. It might have a particular color of trousers or skirt, a matching shirt and sometimes a jacket or necktie, with matching shoes.
 Season=Summer
 Size=Medium
 Usage/Application=Clothing
 Color=Grey
 Fabric=Cotton
 Is It Customized=Customized
 Pattern=Check
 Product Type=School Skirt</t>
        </is>
      </c>
      <c r="E14" t="n">
        <v/>
      </c>
      <c r="F14" t="inlineStr">
        <is>
          <t>------Now Pawan received an order inquiry for the product Girls School Uniform Check Skirt from a buyer named Mohit from a city Jammu. Below is the conversation which is taking place between Mohit and Pawan for the inquired product:------
 Buyer: Age Group:10 Years Size:Small Seller: Hi Mohit,
 Greetings from Pawan Textiles Company, Aligarh. We have received your Enquiry for Girls School Uniform Check Skirt.
 Please check our catalog : https://www.indiamart.com/pawantextilescompany/
 call us at 08048211334
 Are you still looking for this product?
  Seller: School Uniform Skirt
 Price: 121.00 INR/Piece
 https://www.indiamart.com/proddetail/school-uniform-skirt-26485259448.html
  Seller: Hi Mohit, thank you for your interest! How many School Uniform Skirts in size Small would you like to order? Price is INR 121 per piece.</t>
        </is>
      </c>
      <c r="G14" t="inlineStr">
        <is>
          <t>Response: We have size Small in Grey Check. How many do you need?</t>
        </is>
      </c>
      <c r="H14" t="inlineStr">
        <is>
          <t>is INR 121 per piece."
            *   Wait, the buyer has not</t>
        </is>
      </c>
      <c r="I14" t="inlineStr">
        <is>
          <t>Response: Hi Mohit, we can make School Uniform Skirt in Grey check pattern, cotton fabric, summer wear. Please tell me the quantity you want in size Small.</t>
        </is>
      </c>
      <c r="J14" t="inlineStr">
        <is>
          <t>Response: We can make Small size for 10 years. Please share the quantity you need, and we will arrange delivery to Jammu.</t>
        </is>
      </c>
      <c r="K14" t="inlineStr">
        <is>
          <t>Response: Please let me know the quantity you need for the Small size so I can prepare your order for Jammu.</t>
        </is>
      </c>
    </row>
    <row r="15">
      <c r="A15" t="n">
        <v>181220698</v>
      </c>
      <c r="B15" t="n">
        <v>34067103</v>
      </c>
      <c r="C15" t="inlineStr">
        <is>
          <t>------------Guru Kirpa Enterprises Details:------Name=Aman City=Rajpura State=Punjab Phone=08047844984 Company=Guru Kirpa Enterprises Company URL=https://www.indiamart.com/guru-kirpaenterprises-rajpura/</t>
        </is>
      </c>
      <c r="D15" t="inlineStr">
        <is>
          <t>------Aman deals in Voltas 1.5 Ton Split AC Long Body 3 Star which has the following product details:------
 Name=Voltas 123INV 1 Ton 3 Star Split Air Conditioner
 Price=INR 33000 per Piece
 Description=&lt;ul&gt;
 &lt;li&gt;Standard Installation is FREE with 5 year comprehensive warranty&lt;/li&gt;
 &lt;li&gt;Due to high order volumes there might be slight delay in dispatches&lt;/li&gt;
 &lt;li&gt;Delivery timeline is 7-10 business days&lt;/li&gt;
 &lt;li&gt;Order once Invoiced cannot be cancelled&lt;/li&gt;
 &lt;li&gt;Refund will be credited within 14 working days&lt;/li&gt;
 &lt;/ul&gt;
 &lt;br /&gt;
 &lt;p&gt;Meet the Voltas Vectra Emerald 1 Ton 3 Star Inverter Split Room AC designed for smarter, leaner cooling. With 5 Step Adjustable Mode, it fineâ€‘tunes cooling capacity to match realâ€‘time room load and occupancy, cutting energy waste without compromising comfort. Need instant relief? Turbo Cooling drives a quick temperature pullâ€‘down for fast comfort. Built to beat Indian summers, its High Ambient Cooling keeps performance reliable even at 52&amp;deg;C. The energyâ€‘efficient inverter compressor modulates speed for consistent temperatures and lower noise, helping optimize electricity bills with its 3 Star rating. Maintenance is effortless thanks to the Filter Clean Indicator, reminding you to clean filters for fresher air and steady airflow. Ideal for bedrooms, study rooms, and compact living areas, the Vectra Emerald delivers smart comfort, efficiency, and durability every day, all season.&lt;br /&gt;&lt;br /&gt;&lt;/p&gt;
 &lt;p&gt;Key Features:&lt;br /&gt;&lt;br /&gt;&lt;/p&gt;
 &lt;ul&gt;
 &lt;li&gt;Model No.: 4504051 / 123INV Vectra Emerald&lt;/li&gt;
 &lt;li&gt;Nominal Marketing Capacity (Ton): 1 Ton&lt;/li&gt;
 &lt;li&gt;BEE Star Rating: 3 Star&lt;/li&gt;
 &lt;li&gt;3326W Cooling Capacity&lt;/li&gt;
 &lt;li&gt;5 Step Adjustable Mode&lt;/li&gt;
 &lt;li&gt;Anti Dust Filter with Anti microbial coating&lt;/li&gt;
 &lt;li&gt;Hydrophilic Gold Fin Coating on Evaporator&lt;/li&gt;
 &lt;li&gt;Anti corrosive coating on Indoor Unit Coil (Hairpin side)&lt;/li&gt;
 &lt;li&gt;2 Way Swing&lt;/li&gt;
 &lt;li&gt;Anti Corrosive Gold Fin Condenser&lt;/li&gt;
 &lt;li&gt;High Ambient Cooling even at 52 degree Celsius&lt;/li&gt;
 &lt;li&gt;FR Grade Material on Indoor PCB box&lt;/li&gt;
 &lt;li&gt;Anti Fungi technology&lt;/li&gt;
 &lt;li&gt;Memory Restart&lt;/li&gt;
 &lt;li&gt;Sleep Mode&lt;/li&gt;
 &lt;li&gt;Anti freeze Thermostat&lt;/li&gt;
 &lt;li&gt;100% Copper&lt;/li&gt;
 &lt;li&gt;Acoustic Jacket on compressor&lt;/li&gt;
 &lt;li&gt;Gas Leak Detection&lt;/li&gt;
 &lt;li&gt;Installation Check&lt;/li&gt;
 &lt;/ul&gt;
 Star Rating=3 Star
 Capacity=1 Ton
 Colour=White
 Controller Type=Remote Control
 Refrigerant Gas=R32
 Model No=123INV
 Technology=Inverter
 Brand=Voltas
 Compressor Warranty=5 Years
 Condenser Coil=Copper
 Mode of Operation=Cooling Only</t>
        </is>
      </c>
      <c r="E15" t="n">
        <v/>
      </c>
      <c r="F15" t="inlineStr">
        <is>
          <t>------Now Aman received an order inquiry for the product Voltas 1.5 Ton Split AC Long Body 3 Star from a buyer named Vijay from a city Mohali. Below is the conversation which is taking place between Vijay and Aman for the inquired product:------
 Buyer:Long body Capacity:1.5 Ton Energy Rating:3 Star Probable Order Value:Rs. 35,000 - 38,000 Probable Requirement Type:Business Use Quantity:1 Piece Technology:Inverter Seller: Hi Vijay, the Voltas 1.5 Ton Split AC is available for [insert price]. Would you like to proceed with the order or have any questions?</t>
        </is>
      </c>
      <c r="G15" t="inlineStr">
        <is>
          <t>Response: The Voltas 1.5 Ton Split AC is priced at INR 33,000. It includes free standard installation and a 5-year warranty.</t>
        </is>
      </c>
      <c r="H15" t="inlineStr">
        <is>
          <t>Response: The Voltas 1.5 Ton Split AC is available for Rs</t>
        </is>
      </c>
      <c r="I15" t="inlineStr">
        <is>
          <t>Response: Hi Vijay, our Voltas 1.5 Ton Inverter Split AC long body 3 Star long body is available. Price Rs. 35,000–38,000 approx. for 1 pc; shall I arrange dispatch for Mohali?</t>
        </is>
      </c>
      <c r="J15" t="inlineStr">
        <is>
          <t>Response: Voltas 1.5 Ton Inverter Split AC 3 Star is available at Rs. 35,000. Standard installation is free. Please confirm if you want to place the order.</t>
        </is>
      </c>
      <c r="K15" t="inlineStr">
        <is>
          <t>Response: The Voltas 1.5 Ton Split AC is available for INR 33,000. Since you are in Mohali, we can arrange delivery within 7-10 business days. Shall I share the invoice?</t>
        </is>
      </c>
    </row>
    <row r="16">
      <c r="A16" t="n">
        <v>187509407</v>
      </c>
      <c r="B16" t="n">
        <v>30974829</v>
      </c>
      <c r="C16" t="inlineStr">
        <is>
          <t>------------Visual Organic Agrotech Private Limited Details:------Name=Haribhau City=Thane State=Maharashtra Phone=07942825787 Company=Visual Organic Agrotech Private Limited Company URL=https://www.indiamart.com/visualorganic-agrotech/</t>
        </is>
      </c>
      <c r="D16" t="inlineStr">
        <is>
          <t>------Haribhau deals in Electric Kachi Ghani Machine Wooden Cold Press Machine which has the following product details:------
 Name=COLD PRESSED OIL MACHINE
 Price=INR 264000 per Piece
 Description=Wood pressed Oil Ghani Capacity- 2HP, 3 phase All, Capacity 10 kg seed cushing per hour (one batch 40-45 minutes) parts of Oil Ghani other than wood shall be made of Stainless Steel (Upper hopeer and oil outlet in SS, Crushing rod and surface wodden, remaining body MS)
 Brand=VISUAL ORGANIC AGROTECH
 Capacity=1 ton/day
 Country of Origin=Made in India
 Operation Type=Semi Automatic
 Usage/Application=OIL GHANA MACHINE</t>
        </is>
      </c>
      <c r="E16" t="inlineStr">
        <is>
          <t>------Haribhau replying pattern: Whenever Haribhau receives an order inquiry for the product Electric Kachi Ghani Machine Wooden Cold Press Machine from any buyer, mentioned are the 2 different chat conversation between Haribhau &amp; buyer. Use this to detect the seller replying pattern.------
 Conversation 1:
 Seller=Hi Poonam,
 Thanks for your Enquiry to Visual Organic Agrotech Private Limited, Thane.
 Please find my catalog : https://www.indiamart.com/visualorganic-agrotech/cold-press-oil-machine.html
 Do you need ROTARY COLD OIL PRESS WOODEN GHANI?
 Seller=Can you please share more details about your requirement?
 Conversation 2:
 Seller=Hi Anees, yes, COLD PRESSED OIL MACHINE is available
 Seller=Hi Anees, can you please share a suitable time to talk?</t>
        </is>
      </c>
      <c r="F16" t="inlineStr">
        <is>
          <t>------Now Haribhau received an order inquiry for the product Electric Kachi Ghani Machine Wooden Cold Press Machine from a buyer named SHRADDHA from a city Mumbai. Below is the conversation which is taking place between SHRADDHA and Haribhau for the inquired product:------
 Buyer: Buyer Filled Details:10 kg Machine Type:Expeller Motor Power:3 HP Probable Requirement Type:Business Use Seller: Hi SHRADDHA, yes, Electric Kachi Ghani Machine Wooden Cold Press Machine is available
  Seller: Hi SHRADDHA, thanks for your enquiry, we will respond soon
  Seller: Hi SHRADDHA, what is the quantity and order value?
  Seller: Cold Press Oil Machine
 Price: INR 264000/Piece
 https://www.indiamart.com/proddetail/2854019892448.html
  Seller: Hi Shraddha, thanks for your inquiry! Can you please confirm the quantity you need for the heavy-duty oil pressed machine? The price is [insert price].</t>
        </is>
      </c>
      <c r="G16" t="inlineStr">
        <is>
          <t>Response: The price for the heavy-duty oil pressed machine is INR 264000 per piece.</t>
        </is>
      </c>
      <c r="H16" t="inlineStr">
        <is>
          <t>Response: Since you are in Mumbai, would you like to visit our Thane workshop to see the</t>
        </is>
      </c>
      <c r="I16" t="inlineStr">
        <is>
          <t>Response: The COLD PRESSED OIL MACHINE (Electric Kachi Ghani) is available at ₹2,64,000 per piece. We can supply for business use in Mumbai—please share your required quantity.</t>
        </is>
      </c>
      <c r="J16" t="inlineStr">
        <is>
          <t>Response: Please confirm the quantity you need, so I can share the exact offer and delivery details.</t>
        </is>
      </c>
      <c r="K16" t="inlineStr">
        <is>
          <t>Response: Since you mentioned a 3 HP motor requirement, can we discuss your specific business needs over a call? What would be a good time to talk?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9" customWidth="1" min="1" max="1"/>
    <col width="16" customWidth="1" min="2" max="2"/>
    <col width="20" customWidth="1" min="3" max="3"/>
    <col width="15" customWidth="1" min="4" max="4"/>
    <col width="25" customWidth="1" min="5" max="5"/>
    <col width="21" customWidth="1" min="6" max="6"/>
  </cols>
  <sheetData>
    <row r="1">
      <c r="A1" s="1" t="inlineStr">
        <is>
          <t>Call ID</t>
        </is>
      </c>
      <c r="B1" s="1" t="inlineStr">
        <is>
          <t>Prompt Tokens</t>
        </is>
      </c>
      <c r="C1" s="1" t="inlineStr">
        <is>
          <t>Completion Tokens</t>
        </is>
      </c>
      <c r="D1" s="1" t="inlineStr">
        <is>
          <t>Total Tokens</t>
        </is>
      </c>
      <c r="E1" s="1" t="inlineStr">
        <is>
          <t>Estimated Cost</t>
        </is>
      </c>
      <c r="F1" s="1" t="inlineStr">
        <is>
          <t>Latency</t>
        </is>
      </c>
    </row>
    <row r="2">
      <c r="A2" t="n">
        <v>1</v>
      </c>
      <c r="B2" s="2" t="n">
        <v>1898</v>
      </c>
      <c r="C2" s="2" t="n">
        <v>20</v>
      </c>
      <c r="D2" s="2" t="n">
        <v>1918</v>
      </c>
      <c r="E2" s="3" t="n">
        <v>0.00014835</v>
      </c>
      <c r="F2" s="4" t="n">
        <v>2.336468000001332</v>
      </c>
    </row>
    <row r="3">
      <c r="A3" t="n">
        <v>2</v>
      </c>
      <c r="B3" s="2" t="n">
        <v>996</v>
      </c>
      <c r="C3" s="2" t="n">
        <v>31</v>
      </c>
      <c r="D3" s="2" t="n">
        <v>1027</v>
      </c>
      <c r="E3" s="3" t="n">
        <v>8.399999999999998e-05</v>
      </c>
      <c r="F3" s="4" t="n">
        <v>2.347636899999998</v>
      </c>
    </row>
    <row r="4">
      <c r="A4" t="n">
        <v>3</v>
      </c>
      <c r="B4" s="2" t="n">
        <v>1316</v>
      </c>
      <c r="C4" s="2" t="n">
        <v>54</v>
      </c>
      <c r="D4" s="2" t="n">
        <v>1370</v>
      </c>
      <c r="E4" s="3" t="n">
        <v>0.0001149</v>
      </c>
      <c r="F4" s="4" t="n">
        <v>2.44360030000098</v>
      </c>
    </row>
    <row r="5">
      <c r="A5" t="n">
        <v>4</v>
      </c>
      <c r="B5" s="2" t="n">
        <v>796</v>
      </c>
      <c r="C5" s="2" t="n">
        <v>32</v>
      </c>
      <c r="D5" s="2" t="n">
        <v>828</v>
      </c>
      <c r="E5" s="3" t="n">
        <v>6.93e-05</v>
      </c>
      <c r="F5" s="4" t="n">
        <v>2.766428000000815</v>
      </c>
    </row>
    <row r="6">
      <c r="A6" t="n">
        <v>5</v>
      </c>
      <c r="B6" s="2" t="n">
        <v>878</v>
      </c>
      <c r="C6" s="2" t="n">
        <v>18</v>
      </c>
      <c r="D6" s="2" t="n">
        <v>896</v>
      </c>
      <c r="E6" s="3" t="n">
        <v>7.125e-05</v>
      </c>
      <c r="F6" s="4" t="n">
        <v>2.33698540000114</v>
      </c>
    </row>
    <row r="7">
      <c r="A7" t="n">
        <v>6</v>
      </c>
      <c r="B7" s="2" t="n">
        <v>878</v>
      </c>
      <c r="C7" s="2" t="n">
        <v>25</v>
      </c>
      <c r="D7" s="2" t="n">
        <v>903</v>
      </c>
      <c r="E7" s="3" t="n">
        <v>7.335000000000001e-05</v>
      </c>
      <c r="F7" s="4" t="n">
        <v>4.154955600000903</v>
      </c>
    </row>
    <row r="8">
      <c r="A8" t="n">
        <v>7</v>
      </c>
      <c r="B8" s="2" t="n">
        <v>515</v>
      </c>
      <c r="C8" s="2" t="n">
        <v>22</v>
      </c>
      <c r="D8" s="2" t="n">
        <v>537</v>
      </c>
      <c r="E8" s="3" t="n">
        <v>4.5225e-05</v>
      </c>
      <c r="F8" s="4" t="n">
        <v>3.529468499998984</v>
      </c>
    </row>
    <row r="9">
      <c r="A9" t="n">
        <v>8</v>
      </c>
      <c r="B9" s="2" t="n">
        <v>805</v>
      </c>
      <c r="C9" s="2" t="n">
        <v>23</v>
      </c>
      <c r="D9" s="2" t="n">
        <v>828</v>
      </c>
      <c r="E9" s="3" t="n">
        <v>6.727500000000001e-05</v>
      </c>
      <c r="F9" s="4" t="n">
        <v>2.350192800000514</v>
      </c>
    </row>
    <row r="10">
      <c r="A10" t="n">
        <v>9</v>
      </c>
      <c r="B10" s="2" t="n">
        <v>627</v>
      </c>
      <c r="C10" s="2" t="n">
        <v>27</v>
      </c>
      <c r="D10" s="2" t="n">
        <v>654</v>
      </c>
      <c r="E10" s="3" t="n">
        <v>5.5125e-05</v>
      </c>
      <c r="F10" s="4" t="n">
        <v>1.02177649999976</v>
      </c>
    </row>
    <row r="11">
      <c r="A11" t="n">
        <v>10</v>
      </c>
      <c r="B11" s="2" t="n">
        <v>665</v>
      </c>
      <c r="C11" s="2" t="n">
        <v>29</v>
      </c>
      <c r="D11" s="2" t="n">
        <v>694</v>
      </c>
      <c r="E11" s="3" t="n">
        <v>5.8575e-05</v>
      </c>
      <c r="F11" s="4" t="n">
        <v>0.7467044000004535</v>
      </c>
    </row>
    <row r="12">
      <c r="A12" t="n">
        <v>11</v>
      </c>
      <c r="B12" s="2" t="n">
        <v>1111</v>
      </c>
      <c r="C12" s="2" t="n">
        <v>25</v>
      </c>
      <c r="D12" s="2" t="n">
        <v>1136</v>
      </c>
      <c r="E12" s="3" t="n">
        <v>9.0825e-05</v>
      </c>
      <c r="F12" s="4" t="n">
        <v>0.8436399000001984</v>
      </c>
    </row>
    <row r="13">
      <c r="A13" t="n">
        <v>12</v>
      </c>
      <c r="B13" s="2" t="n">
        <v>418</v>
      </c>
      <c r="C13" s="2" t="n">
        <v>19</v>
      </c>
      <c r="D13" s="2" t="n">
        <v>437</v>
      </c>
      <c r="E13" s="3" t="n">
        <v>3.705000000000001e-05</v>
      </c>
      <c r="F13" s="4" t="n">
        <v>0.7643145999991248</v>
      </c>
    </row>
    <row r="14">
      <c r="A14" t="n">
        <v>13</v>
      </c>
      <c r="B14" s="2" t="n">
        <v>805</v>
      </c>
      <c r="C14" s="2" t="n">
        <v>16</v>
      </c>
      <c r="D14" s="2" t="n">
        <v>821</v>
      </c>
      <c r="E14" s="3" t="n">
        <v>6.5175e-05</v>
      </c>
      <c r="F14" s="4" t="n">
        <v>1.081538200000068</v>
      </c>
    </row>
    <row r="15">
      <c r="A15" t="n">
        <v>14</v>
      </c>
      <c r="B15" s="2" t="n">
        <v>1214</v>
      </c>
      <c r="C15" s="2" t="n">
        <v>37</v>
      </c>
      <c r="D15" s="2" t="n">
        <v>1251</v>
      </c>
      <c r="E15" s="3" t="n">
        <v>0.00010215</v>
      </c>
      <c r="F15" s="4" t="n">
        <v>0.8867936000006011</v>
      </c>
    </row>
    <row r="16">
      <c r="A16" t="n">
        <v>15</v>
      </c>
      <c r="B16" s="2" t="n">
        <v>1041</v>
      </c>
      <c r="C16" s="2" t="n">
        <v>24</v>
      </c>
      <c r="D16" s="2" t="n">
        <v>1065</v>
      </c>
      <c r="E16" s="3" t="n">
        <v>8.5275e-05</v>
      </c>
      <c r="F16" s="4" t="n">
        <v>1.991079199999149</v>
      </c>
    </row>
    <row r="17"/>
    <row r="18">
      <c r="A18" s="5" t="inlineStr">
        <is>
          <t>Average Prompt Tokens</t>
        </is>
      </c>
      <c r="B18" s="6">
        <f>AVERAGE(B2:B16)</f>
        <v/>
      </c>
    </row>
    <row r="19">
      <c r="A19" s="5" t="inlineStr">
        <is>
          <t>Average Completion Tokens</t>
        </is>
      </c>
      <c r="C19" s="6">
        <f>AVERAGE(C2:C16)</f>
        <v/>
      </c>
    </row>
    <row r="20">
      <c r="A20" s="5" t="inlineStr">
        <is>
          <t>Average Total Tokens</t>
        </is>
      </c>
      <c r="D20" s="6">
        <f>AVERAGE(D2:D16)</f>
        <v/>
      </c>
    </row>
    <row r="21">
      <c r="A21" s="5" t="inlineStr">
        <is>
          <t>Average Estimated Cost</t>
        </is>
      </c>
      <c r="E21" s="7">
        <f>AVERAGE(E2:E16)</f>
        <v/>
      </c>
    </row>
    <row r="22">
      <c r="A22" s="5" t="inlineStr">
        <is>
          <t>Average Latency</t>
        </is>
      </c>
      <c r="F22" s="8">
        <f>AVERAGE(F2:F16)</f>
        <v/>
      </c>
    </row>
    <row r="23">
      <c r="A23" s="5" t="inlineStr">
        <is>
          <t>P95 Latency</t>
        </is>
      </c>
      <c r="F23" s="8">
        <f>PERCENTILE.INC(F2:F16,0.95)</f>
        <v/>
      </c>
    </row>
    <row r="24">
      <c r="A24" s="5" t="inlineStr">
        <is>
          <t>Maximum Latency</t>
        </is>
      </c>
      <c r="F24" s="8">
        <f>MAX(F2:F16)</f>
        <v/>
      </c>
    </row>
    <row r="25">
      <c r="A25" s="5" t="inlineStr">
        <is>
          <t>Minimum Latency</t>
        </is>
      </c>
      <c r="F25" s="8">
        <f>MIN(F2:F16)</f>
        <v/>
      </c>
    </row>
    <row r="26">
      <c r="A26" s="5" t="inlineStr">
        <is>
          <t>Standard Deviation Latency</t>
        </is>
      </c>
      <c r="F26" s="8">
        <f>STDEV.S(F2:F16)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9" customWidth="1" min="1" max="1"/>
    <col width="16" customWidth="1" min="2" max="2"/>
    <col width="20" customWidth="1" min="3" max="3"/>
    <col width="15" customWidth="1" min="4" max="4"/>
    <col width="25" customWidth="1" min="5" max="5"/>
    <col width="21" customWidth="1" min="6" max="6"/>
  </cols>
  <sheetData>
    <row r="1">
      <c r="A1" s="1" t="inlineStr">
        <is>
          <t>Call ID</t>
        </is>
      </c>
      <c r="B1" s="1" t="inlineStr">
        <is>
          <t>Prompt Tokens</t>
        </is>
      </c>
      <c r="C1" s="1" t="inlineStr">
        <is>
          <t>Completion Tokens</t>
        </is>
      </c>
      <c r="D1" s="1" t="inlineStr">
        <is>
          <t>Total Tokens</t>
        </is>
      </c>
      <c r="E1" s="1" t="inlineStr">
        <is>
          <t>Estimated Cost</t>
        </is>
      </c>
      <c r="F1" s="1" t="inlineStr">
        <is>
          <t>Latency</t>
        </is>
      </c>
    </row>
    <row r="2">
      <c r="A2" t="n">
        <v>1</v>
      </c>
      <c r="B2" s="2" t="n">
        <v>1898</v>
      </c>
      <c r="C2" s="2" t="n">
        <v>496</v>
      </c>
      <c r="D2" s="2" t="n">
        <v>2394</v>
      </c>
      <c r="E2" s="3" t="n">
        <v>0.00029115</v>
      </c>
      <c r="F2" s="4" t="n">
        <v>4.040602499999295</v>
      </c>
    </row>
    <row r="3">
      <c r="A3" t="n">
        <v>2</v>
      </c>
      <c r="B3" s="2" t="n">
        <v>996</v>
      </c>
      <c r="C3" s="2" t="n">
        <v>496</v>
      </c>
      <c r="D3" s="2" t="n">
        <v>1492</v>
      </c>
      <c r="E3" s="3" t="n">
        <v>0.0002235</v>
      </c>
      <c r="F3" s="4" t="n">
        <v>4.201276499999949</v>
      </c>
    </row>
    <row r="4">
      <c r="A4" t="n">
        <v>3</v>
      </c>
      <c r="B4" s="2" t="n">
        <v>1317</v>
      </c>
      <c r="C4" s="2" t="n">
        <v>496</v>
      </c>
      <c r="D4" s="2" t="n">
        <v>1813</v>
      </c>
      <c r="E4" s="3" t="n">
        <v>0.000247575</v>
      </c>
      <c r="F4" s="4" t="n">
        <v>2.945006800000556</v>
      </c>
    </row>
    <row r="5">
      <c r="A5" t="n">
        <v>4</v>
      </c>
      <c r="B5" s="2" t="n">
        <v>796</v>
      </c>
      <c r="C5" s="2" t="n">
        <v>496</v>
      </c>
      <c r="D5" s="2" t="n">
        <v>1292</v>
      </c>
      <c r="E5" s="3" t="n">
        <v>0.0002085</v>
      </c>
      <c r="F5" s="4" t="n">
        <v>4.805763299998944</v>
      </c>
    </row>
    <row r="6">
      <c r="A6" t="n">
        <v>5</v>
      </c>
      <c r="B6" s="2" t="n">
        <v>878</v>
      </c>
      <c r="C6" s="2" t="n">
        <v>495</v>
      </c>
      <c r="D6" s="2" t="n">
        <v>1373</v>
      </c>
      <c r="E6" s="3" t="n">
        <v>0.00021435</v>
      </c>
      <c r="F6" s="4" t="n">
        <v>3.900963099998989</v>
      </c>
    </row>
    <row r="7">
      <c r="A7" t="n">
        <v>6</v>
      </c>
      <c r="B7" s="2" t="n">
        <v>878</v>
      </c>
      <c r="C7" s="2" t="n">
        <v>496</v>
      </c>
      <c r="D7" s="2" t="n">
        <v>1374</v>
      </c>
      <c r="E7" s="3" t="n">
        <v>0.00021465</v>
      </c>
      <c r="F7" s="4" t="n">
        <v>5.411115599999903</v>
      </c>
    </row>
    <row r="8">
      <c r="A8" t="n">
        <v>7</v>
      </c>
      <c r="B8" s="2" t="n">
        <v>515</v>
      </c>
      <c r="C8" s="2" t="n">
        <v>496</v>
      </c>
      <c r="D8" s="2" t="n">
        <v>1011</v>
      </c>
      <c r="E8" s="3" t="n">
        <v>0.000187425</v>
      </c>
      <c r="F8" s="4" t="n">
        <v>4.001748999999108</v>
      </c>
    </row>
    <row r="9">
      <c r="A9" t="n">
        <v>8</v>
      </c>
      <c r="B9" s="2" t="n">
        <v>805</v>
      </c>
      <c r="C9" s="2" t="n">
        <v>496</v>
      </c>
      <c r="D9" s="2" t="n">
        <v>1301</v>
      </c>
      <c r="E9" s="3" t="n">
        <v>0.000209175</v>
      </c>
      <c r="F9" s="4" t="n">
        <v>6.018034500000795</v>
      </c>
    </row>
    <row r="10">
      <c r="A10" t="n">
        <v>9</v>
      </c>
      <c r="B10" s="2" t="n">
        <v>627</v>
      </c>
      <c r="C10" s="2" t="n">
        <v>496</v>
      </c>
      <c r="D10" s="2" t="n">
        <v>1123</v>
      </c>
      <c r="E10" s="3" t="n">
        <v>0.000195825</v>
      </c>
      <c r="F10" s="4" t="n">
        <v>3.729229200000191</v>
      </c>
    </row>
    <row r="11">
      <c r="A11" t="n">
        <v>10</v>
      </c>
      <c r="B11" s="2" t="n">
        <v>665</v>
      </c>
      <c r="C11" s="2" t="n">
        <v>496</v>
      </c>
      <c r="D11" s="2" t="n">
        <v>1161</v>
      </c>
      <c r="E11" s="3" t="n">
        <v>0.000198675</v>
      </c>
      <c r="F11" s="4" t="n">
        <v>4.014745599999515</v>
      </c>
    </row>
    <row r="12">
      <c r="A12" t="n">
        <v>11</v>
      </c>
      <c r="B12" s="2" t="n">
        <v>1111</v>
      </c>
      <c r="C12" s="2" t="n">
        <v>495</v>
      </c>
      <c r="D12" s="2" t="n">
        <v>1606</v>
      </c>
      <c r="E12" s="3" t="n">
        <v>0.000231825</v>
      </c>
      <c r="F12" s="4" t="n">
        <v>4.02180109999972</v>
      </c>
    </row>
    <row r="13">
      <c r="A13" t="n">
        <v>12</v>
      </c>
      <c r="B13" s="2" t="n">
        <v>419</v>
      </c>
      <c r="C13" s="2" t="n">
        <v>496</v>
      </c>
      <c r="D13" s="2" t="n">
        <v>915</v>
      </c>
      <c r="E13" s="3" t="n">
        <v>0.000180225</v>
      </c>
      <c r="F13" s="4" t="n">
        <v>3.670690999999351</v>
      </c>
    </row>
    <row r="14">
      <c r="A14" t="n">
        <v>13</v>
      </c>
      <c r="B14" s="2" t="n">
        <v>804</v>
      </c>
      <c r="C14" s="2" t="n">
        <v>496</v>
      </c>
      <c r="D14" s="2" t="n">
        <v>1300</v>
      </c>
      <c r="E14" s="3" t="n">
        <v>0.0002091</v>
      </c>
      <c r="F14" s="4" t="n">
        <v>4.347975900000165</v>
      </c>
    </row>
    <row r="15">
      <c r="A15" t="n">
        <v>14</v>
      </c>
      <c r="B15" s="2" t="n">
        <v>1214</v>
      </c>
      <c r="C15" s="2" t="n">
        <v>496</v>
      </c>
      <c r="D15" s="2" t="n">
        <v>1710</v>
      </c>
      <c r="E15" s="3" t="n">
        <v>0.00023985</v>
      </c>
      <c r="F15" s="4" t="n">
        <v>4.825042700000267</v>
      </c>
    </row>
    <row r="16">
      <c r="A16" t="n">
        <v>15</v>
      </c>
      <c r="B16" s="2" t="n">
        <v>1041</v>
      </c>
      <c r="C16" s="2" t="n">
        <v>496</v>
      </c>
      <c r="D16" s="2" t="n">
        <v>1537</v>
      </c>
      <c r="E16" s="3" t="n">
        <v>0.000226875</v>
      </c>
      <c r="F16" s="4" t="n">
        <v>3.723087699998359</v>
      </c>
    </row>
    <row r="17"/>
    <row r="18">
      <c r="A18" s="5" t="inlineStr">
        <is>
          <t>Average Prompt Tokens</t>
        </is>
      </c>
      <c r="B18" s="6">
        <f>AVERAGE(B2:B16)</f>
        <v/>
      </c>
    </row>
    <row r="19">
      <c r="A19" s="5" t="inlineStr">
        <is>
          <t>Average Completion Tokens</t>
        </is>
      </c>
      <c r="C19" s="6">
        <f>AVERAGE(C2:C16)</f>
        <v/>
      </c>
    </row>
    <row r="20">
      <c r="A20" s="5" t="inlineStr">
        <is>
          <t>Average Total Tokens</t>
        </is>
      </c>
      <c r="D20" s="6">
        <f>AVERAGE(D2:D16)</f>
        <v/>
      </c>
    </row>
    <row r="21">
      <c r="A21" s="5" t="inlineStr">
        <is>
          <t>Average Estimated Cost</t>
        </is>
      </c>
      <c r="E21" s="7">
        <f>AVERAGE(E2:E16)</f>
        <v/>
      </c>
    </row>
    <row r="22">
      <c r="A22" s="5" t="inlineStr">
        <is>
          <t>Average Latency</t>
        </is>
      </c>
      <c r="F22" s="8">
        <f>AVERAGE(F2:F16)</f>
        <v/>
      </c>
    </row>
    <row r="23">
      <c r="A23" s="5" t="inlineStr">
        <is>
          <t>P95 Latency</t>
        </is>
      </c>
      <c r="F23" s="8">
        <f>PERCENTILE.INC(F2:F16,0.95)</f>
        <v/>
      </c>
    </row>
    <row r="24">
      <c r="A24" s="5" t="inlineStr">
        <is>
          <t>Maximum Latency</t>
        </is>
      </c>
      <c r="F24" s="8">
        <f>MAX(F2:F16)</f>
        <v/>
      </c>
    </row>
    <row r="25">
      <c r="A25" s="5" t="inlineStr">
        <is>
          <t>Minimum Latency</t>
        </is>
      </c>
      <c r="F25" s="8">
        <f>MIN(F2:F16)</f>
        <v/>
      </c>
    </row>
    <row r="26">
      <c r="A26" s="5" t="inlineStr">
        <is>
          <t>Standard Deviation Latency</t>
        </is>
      </c>
      <c r="F26" s="8">
        <f>STDEV.S(F2:F16)</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9" customWidth="1" min="1" max="1"/>
    <col width="16" customWidth="1" min="2" max="2"/>
    <col width="20" customWidth="1" min="3" max="3"/>
    <col width="15" customWidth="1" min="4" max="4"/>
    <col width="25" customWidth="1" min="5" max="5"/>
    <col width="21" customWidth="1" min="6" max="6"/>
  </cols>
  <sheetData>
    <row r="1">
      <c r="A1" s="1" t="inlineStr">
        <is>
          <t>Call ID</t>
        </is>
      </c>
      <c r="B1" s="1" t="inlineStr">
        <is>
          <t>Prompt Tokens</t>
        </is>
      </c>
      <c r="C1" s="1" t="inlineStr">
        <is>
          <t>Completion Tokens</t>
        </is>
      </c>
      <c r="D1" s="1" t="inlineStr">
        <is>
          <t>Total Tokens</t>
        </is>
      </c>
      <c r="E1" s="1" t="inlineStr">
        <is>
          <t>Estimated Cost</t>
        </is>
      </c>
      <c r="F1" s="1" t="inlineStr">
        <is>
          <t>Latency</t>
        </is>
      </c>
    </row>
    <row r="2">
      <c r="A2" t="n">
        <v>1</v>
      </c>
      <c r="B2" s="2" t="n">
        <v>1800</v>
      </c>
      <c r="C2" s="2" t="n">
        <v>45</v>
      </c>
      <c r="D2" s="2" t="n">
        <v>1845</v>
      </c>
      <c r="E2" s="3" t="n">
        <v>0.000297</v>
      </c>
      <c r="F2" s="4" t="n">
        <v>8.651219299999866</v>
      </c>
    </row>
    <row r="3">
      <c r="A3" t="n">
        <v>2</v>
      </c>
      <c r="B3" s="2" t="n">
        <v>927</v>
      </c>
      <c r="C3" s="2" t="n">
        <v>39</v>
      </c>
      <c r="D3" s="2" t="n">
        <v>966</v>
      </c>
      <c r="E3" s="3" t="n">
        <v>0.00016245</v>
      </c>
      <c r="F3" s="4" t="n">
        <v>9.164494500000728</v>
      </c>
    </row>
    <row r="4">
      <c r="A4" t="n">
        <v>3</v>
      </c>
      <c r="B4" s="2" t="n">
        <v>1200</v>
      </c>
      <c r="C4" s="2" t="n">
        <v>47</v>
      </c>
      <c r="D4" s="2" t="n">
        <v>1247</v>
      </c>
      <c r="E4" s="3" t="n">
        <v>0.0002082</v>
      </c>
      <c r="F4" s="4" t="n">
        <v>2.048399100000097</v>
      </c>
    </row>
    <row r="5">
      <c r="A5" t="n">
        <v>4</v>
      </c>
      <c r="B5" s="2" t="n">
        <v>750</v>
      </c>
      <c r="C5" s="2" t="n">
        <v>44</v>
      </c>
      <c r="D5" s="2" t="n">
        <v>794</v>
      </c>
      <c r="E5" s="3" t="n">
        <v>0.0001389</v>
      </c>
      <c r="F5" s="4" t="n">
        <v>8.99176240000088</v>
      </c>
    </row>
    <row r="6">
      <c r="A6" t="n">
        <v>5</v>
      </c>
      <c r="B6" s="2" t="n">
        <v>822</v>
      </c>
      <c r="C6" s="2" t="n">
        <v>47</v>
      </c>
      <c r="D6" s="2" t="n">
        <v>869</v>
      </c>
      <c r="E6" s="3" t="n">
        <v>0.0001515</v>
      </c>
      <c r="F6" s="4" t="n">
        <v>1.103544399999009</v>
      </c>
    </row>
    <row r="7">
      <c r="A7" t="n">
        <v>6</v>
      </c>
      <c r="B7" s="2" t="n">
        <v>822</v>
      </c>
      <c r="C7" s="2" t="n">
        <v>48</v>
      </c>
      <c r="D7" s="2" t="n">
        <v>870</v>
      </c>
      <c r="E7" s="3" t="n">
        <v>0.0001521</v>
      </c>
      <c r="F7" s="4" t="n">
        <v>12.88963690000128</v>
      </c>
    </row>
    <row r="8">
      <c r="A8" t="n">
        <v>7</v>
      </c>
      <c r="B8" s="2" t="n">
        <v>496</v>
      </c>
      <c r="C8" s="2" t="n">
        <v>35</v>
      </c>
      <c r="D8" s="2" t="n">
        <v>531</v>
      </c>
      <c r="E8" s="3" t="n">
        <v>9.54e-05</v>
      </c>
      <c r="F8" s="4" t="n">
        <v>4.650422000000617</v>
      </c>
    </row>
    <row r="9">
      <c r="A9" t="n">
        <v>8</v>
      </c>
      <c r="B9" s="2" t="n">
        <v>756</v>
      </c>
      <c r="C9" s="2" t="n">
        <v>43</v>
      </c>
      <c r="D9" s="2" t="n">
        <v>799</v>
      </c>
      <c r="E9" s="3" t="n">
        <v>0.0001392</v>
      </c>
      <c r="F9" s="4" t="n">
        <v>1.247387700001127</v>
      </c>
    </row>
    <row r="10">
      <c r="A10" t="n">
        <v>9</v>
      </c>
      <c r="B10" s="2" t="n">
        <v>607</v>
      </c>
      <c r="C10" s="2" t="n">
        <v>45</v>
      </c>
      <c r="D10" s="2" t="n">
        <v>652</v>
      </c>
      <c r="E10" s="3" t="n">
        <v>0.00011805</v>
      </c>
      <c r="F10" s="4" t="n">
        <v>8.820583400000032</v>
      </c>
    </row>
    <row r="11">
      <c r="A11" t="n">
        <v>10</v>
      </c>
      <c r="B11" s="2" t="n">
        <v>634</v>
      </c>
      <c r="C11" s="2" t="n">
        <v>48</v>
      </c>
      <c r="D11" s="2" t="n">
        <v>682</v>
      </c>
      <c r="E11" s="3" t="n">
        <v>0.0001239</v>
      </c>
      <c r="F11" s="4" t="n">
        <v>16.84820290000062</v>
      </c>
    </row>
    <row r="12">
      <c r="A12" t="n">
        <v>11</v>
      </c>
      <c r="B12" s="2" t="n">
        <v>1052</v>
      </c>
      <c r="C12" s="2" t="n">
        <v>48</v>
      </c>
      <c r="D12" s="2" t="n">
        <v>1100</v>
      </c>
      <c r="E12" s="3" t="n">
        <v>0.0001866</v>
      </c>
      <c r="F12" s="4" t="n">
        <v>1.643308400000024</v>
      </c>
    </row>
    <row r="13">
      <c r="A13" t="n">
        <v>12</v>
      </c>
      <c r="B13" s="2" t="n">
        <v>408</v>
      </c>
      <c r="C13" s="2" t="n">
        <v>39</v>
      </c>
      <c r="D13" s="2" t="n">
        <v>447</v>
      </c>
      <c r="E13" s="3" t="n">
        <v>8.46e-05</v>
      </c>
      <c r="F13" s="4" t="n">
        <v>3.492179799999576</v>
      </c>
    </row>
    <row r="14">
      <c r="A14" t="n">
        <v>13</v>
      </c>
      <c r="B14" s="2" t="n">
        <v>745</v>
      </c>
      <c r="C14" s="2" t="n">
        <v>39</v>
      </c>
      <c r="D14" s="2" t="n">
        <v>784</v>
      </c>
      <c r="E14" s="3" t="n">
        <v>0.00013515</v>
      </c>
      <c r="F14" s="4" t="n">
        <v>1.257512300000599</v>
      </c>
    </row>
    <row r="15">
      <c r="A15" t="n">
        <v>14</v>
      </c>
      <c r="B15" s="2" t="n">
        <v>1216</v>
      </c>
      <c r="C15" s="2" t="n">
        <v>57</v>
      </c>
      <c r="D15" s="2" t="n">
        <v>1273</v>
      </c>
      <c r="E15" s="3" t="n">
        <v>0.0002166</v>
      </c>
      <c r="F15" s="4" t="n">
        <v>1.198701699999219</v>
      </c>
    </row>
    <row r="16">
      <c r="A16" t="n">
        <v>15</v>
      </c>
      <c r="B16" s="2" t="n">
        <v>974</v>
      </c>
      <c r="C16" s="2" t="n">
        <v>48</v>
      </c>
      <c r="D16" s="2" t="n">
        <v>1022</v>
      </c>
      <c r="E16" s="3" t="n">
        <v>0.0001749</v>
      </c>
      <c r="F16" s="4" t="n">
        <v>2.305316299998594</v>
      </c>
    </row>
    <row r="17"/>
    <row r="18">
      <c r="A18" s="5" t="inlineStr">
        <is>
          <t>Average Prompt Tokens</t>
        </is>
      </c>
      <c r="B18" s="6">
        <f>AVERAGE(B2:B16)</f>
        <v/>
      </c>
    </row>
    <row r="19">
      <c r="A19" s="5" t="inlineStr">
        <is>
          <t>Average Completion Tokens</t>
        </is>
      </c>
      <c r="C19" s="6">
        <f>AVERAGE(C2:C16)</f>
        <v/>
      </c>
    </row>
    <row r="20">
      <c r="A20" s="5" t="inlineStr">
        <is>
          <t>Average Total Tokens</t>
        </is>
      </c>
      <c r="D20" s="6">
        <f>AVERAGE(D2:D16)</f>
        <v/>
      </c>
    </row>
    <row r="21">
      <c r="A21" s="5" t="inlineStr">
        <is>
          <t>Average Estimated Cost</t>
        </is>
      </c>
      <c r="E21" s="7">
        <f>AVERAGE(E2:E16)</f>
        <v/>
      </c>
    </row>
    <row r="22">
      <c r="A22" s="5" t="inlineStr">
        <is>
          <t>Average Latency</t>
        </is>
      </c>
      <c r="F22" s="8">
        <f>AVERAGE(F2:F16)</f>
        <v/>
      </c>
    </row>
    <row r="23">
      <c r="A23" s="5" t="inlineStr">
        <is>
          <t>P95 Latency</t>
        </is>
      </c>
      <c r="F23" s="8">
        <f>PERCENTILE.INC(F2:F16,0.95)</f>
        <v/>
      </c>
    </row>
    <row r="24">
      <c r="A24" s="5" t="inlineStr">
        <is>
          <t>Maximum Latency</t>
        </is>
      </c>
      <c r="F24" s="8">
        <f>MAX(F2:F16)</f>
        <v/>
      </c>
    </row>
    <row r="25">
      <c r="A25" s="5" t="inlineStr">
        <is>
          <t>Minimum Latency</t>
        </is>
      </c>
      <c r="F25" s="8">
        <f>MIN(F2:F16)</f>
        <v/>
      </c>
    </row>
    <row r="26">
      <c r="A26" s="5" t="inlineStr">
        <is>
          <t>Standard Deviation Latency</t>
        </is>
      </c>
      <c r="F26" s="8">
        <f>STDEV.S(F2:F16)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9" customWidth="1" min="1" max="1"/>
    <col width="16" customWidth="1" min="2" max="2"/>
    <col width="20" customWidth="1" min="3" max="3"/>
    <col width="15" customWidth="1" min="4" max="4"/>
    <col width="25" customWidth="1" min="5" max="5"/>
    <col width="21" customWidth="1" min="6" max="6"/>
  </cols>
  <sheetData>
    <row r="1">
      <c r="A1" s="1" t="inlineStr">
        <is>
          <t>Call ID</t>
        </is>
      </c>
      <c r="B1" s="1" t="inlineStr">
        <is>
          <t>Prompt Tokens</t>
        </is>
      </c>
      <c r="C1" s="1" t="inlineStr">
        <is>
          <t>Completion Tokens</t>
        </is>
      </c>
      <c r="D1" s="1" t="inlineStr">
        <is>
          <t>Total Tokens</t>
        </is>
      </c>
      <c r="E1" s="1" t="inlineStr">
        <is>
          <t>Estimated Cost</t>
        </is>
      </c>
      <c r="F1" s="1" t="inlineStr">
        <is>
          <t>Latency</t>
        </is>
      </c>
    </row>
    <row r="2">
      <c r="A2" t="n">
        <v>1</v>
      </c>
      <c r="B2" s="2" t="n">
        <v>1800</v>
      </c>
      <c r="C2" s="2" t="n">
        <v>29</v>
      </c>
      <c r="D2" s="2" t="n">
        <v>1829</v>
      </c>
      <c r="E2" s="3" t="n">
        <v>0.0005748</v>
      </c>
      <c r="F2" s="4" t="n">
        <v>1.134342699999252</v>
      </c>
    </row>
    <row r="3">
      <c r="A3" t="n">
        <v>2</v>
      </c>
      <c r="B3" s="2" t="n">
        <v>927</v>
      </c>
      <c r="C3" s="2" t="n">
        <v>30</v>
      </c>
      <c r="D3" s="2" t="n">
        <v>957</v>
      </c>
      <c r="E3" s="3" t="n">
        <v>0.0003141</v>
      </c>
      <c r="F3" s="4" t="n">
        <v>1.323375300000407</v>
      </c>
    </row>
    <row r="4">
      <c r="A4" t="n">
        <v>3</v>
      </c>
      <c r="B4" s="2" t="n">
        <v>1200</v>
      </c>
      <c r="C4" s="2" t="n">
        <v>26</v>
      </c>
      <c r="D4" s="2" t="n">
        <v>1226</v>
      </c>
      <c r="E4" s="3" t="n">
        <v>0.0003912</v>
      </c>
      <c r="F4" s="4" t="n">
        <v>2.758936899999753</v>
      </c>
    </row>
    <row r="5">
      <c r="A5" t="n">
        <v>4</v>
      </c>
      <c r="B5" s="2" t="n">
        <v>750</v>
      </c>
      <c r="C5" s="2" t="n">
        <v>33</v>
      </c>
      <c r="D5" s="2" t="n">
        <v>783</v>
      </c>
      <c r="E5" s="3" t="n">
        <v>0.0002646</v>
      </c>
      <c r="F5" s="4" t="n">
        <v>0.9799196999993001</v>
      </c>
    </row>
    <row r="6">
      <c r="A6" t="n">
        <v>5</v>
      </c>
      <c r="B6" s="2" t="n">
        <v>822</v>
      </c>
      <c r="C6" s="2" t="n">
        <v>34</v>
      </c>
      <c r="D6" s="2" t="n">
        <v>856</v>
      </c>
      <c r="E6" s="3" t="n">
        <v>0.0002874</v>
      </c>
      <c r="F6" s="4" t="n">
        <v>1.253001200000654</v>
      </c>
    </row>
    <row r="7">
      <c r="A7" t="n">
        <v>6</v>
      </c>
      <c r="B7" s="2" t="n">
        <v>822</v>
      </c>
      <c r="C7" s="2" t="n">
        <v>32</v>
      </c>
      <c r="D7" s="2" t="n">
        <v>854</v>
      </c>
      <c r="E7" s="3" t="n">
        <v>0.000285</v>
      </c>
      <c r="F7" s="4" t="n">
        <v>1.961950599999909</v>
      </c>
    </row>
    <row r="8">
      <c r="A8" t="n">
        <v>7</v>
      </c>
      <c r="B8" s="2" t="n">
        <v>496</v>
      </c>
      <c r="C8" s="2" t="n">
        <v>23</v>
      </c>
      <c r="D8" s="2" t="n">
        <v>519</v>
      </c>
      <c r="E8" s="3" t="n">
        <v>0.0001764</v>
      </c>
      <c r="F8" s="4" t="n">
        <v>1.032025800001065</v>
      </c>
    </row>
    <row r="9">
      <c r="A9" t="n">
        <v>8</v>
      </c>
      <c r="B9" s="2" t="n">
        <v>756</v>
      </c>
      <c r="C9" s="2" t="n">
        <v>22</v>
      </c>
      <c r="D9" s="2" t="n">
        <v>778</v>
      </c>
      <c r="E9" s="3" t="n">
        <v>0.0002532</v>
      </c>
      <c r="F9" s="4" t="n">
        <v>0.8358759999991889</v>
      </c>
    </row>
    <row r="10">
      <c r="A10" t="n">
        <v>9</v>
      </c>
      <c r="B10" s="2" t="n">
        <v>607</v>
      </c>
      <c r="C10" s="2" t="n">
        <v>26</v>
      </c>
      <c r="D10" s="2" t="n">
        <v>633</v>
      </c>
      <c r="E10" s="3" t="n">
        <v>0.0002133</v>
      </c>
      <c r="F10" s="4" t="n">
        <v>1.238447300000189</v>
      </c>
    </row>
    <row r="11">
      <c r="A11" t="n">
        <v>10</v>
      </c>
      <c r="B11" s="2" t="n">
        <v>634</v>
      </c>
      <c r="C11" s="2" t="n">
        <v>28</v>
      </c>
      <c r="D11" s="2" t="n">
        <v>662</v>
      </c>
      <c r="E11" s="3" t="n">
        <v>0.0002238</v>
      </c>
      <c r="F11" s="4" t="n">
        <v>1.135751699999673</v>
      </c>
    </row>
    <row r="12">
      <c r="A12" t="n">
        <v>11</v>
      </c>
      <c r="B12" s="2" t="n">
        <v>1052</v>
      </c>
      <c r="C12" s="2" t="n">
        <v>16</v>
      </c>
      <c r="D12" s="2" t="n">
        <v>1068</v>
      </c>
      <c r="E12" s="3" t="n">
        <v>0.0003348</v>
      </c>
      <c r="F12" s="4" t="n">
        <v>0.8274326999999175</v>
      </c>
    </row>
    <row r="13">
      <c r="A13" t="n">
        <v>12</v>
      </c>
      <c r="B13" s="2" t="n">
        <v>408</v>
      </c>
      <c r="C13" s="2" t="n">
        <v>19</v>
      </c>
      <c r="D13" s="2" t="n">
        <v>427</v>
      </c>
      <c r="E13" s="3" t="n">
        <v>0.0001452</v>
      </c>
      <c r="F13" s="4" t="n">
        <v>1.144323399999848</v>
      </c>
    </row>
    <row r="14">
      <c r="A14" t="n">
        <v>13</v>
      </c>
      <c r="B14" s="2" t="n">
        <v>745</v>
      </c>
      <c r="C14" s="2" t="n">
        <v>30</v>
      </c>
      <c r="D14" s="2" t="n">
        <v>775</v>
      </c>
      <c r="E14" s="3" t="n">
        <v>0.0002595</v>
      </c>
      <c r="F14" s="4" t="n">
        <v>1.524557000000641</v>
      </c>
    </row>
    <row r="15">
      <c r="A15" t="n">
        <v>14</v>
      </c>
      <c r="B15" s="2" t="n">
        <v>1216</v>
      </c>
      <c r="C15" s="2" t="n">
        <v>44</v>
      </c>
      <c r="D15" s="2" t="n">
        <v>1260</v>
      </c>
      <c r="E15" s="3" t="n">
        <v>0.0004176</v>
      </c>
      <c r="F15" s="4" t="n">
        <v>1.510384399998657</v>
      </c>
    </row>
    <row r="16">
      <c r="A16" t="n">
        <v>15</v>
      </c>
      <c r="B16" s="2" t="n">
        <v>974</v>
      </c>
      <c r="C16" s="2" t="n">
        <v>23</v>
      </c>
      <c r="D16" s="2" t="n">
        <v>997</v>
      </c>
      <c r="E16" s="3" t="n">
        <v>0.0003198</v>
      </c>
      <c r="F16" s="4" t="n">
        <v>1.002172300000893</v>
      </c>
    </row>
    <row r="17"/>
    <row r="18">
      <c r="A18" s="5" t="inlineStr">
        <is>
          <t>Average Prompt Tokens</t>
        </is>
      </c>
      <c r="B18" s="6">
        <f>AVERAGE(B2:B16)</f>
        <v/>
      </c>
    </row>
    <row r="19">
      <c r="A19" s="5" t="inlineStr">
        <is>
          <t>Average Completion Tokens</t>
        </is>
      </c>
      <c r="C19" s="6">
        <f>AVERAGE(C2:C16)</f>
        <v/>
      </c>
    </row>
    <row r="20">
      <c r="A20" s="5" t="inlineStr">
        <is>
          <t>Average Total Tokens</t>
        </is>
      </c>
      <c r="D20" s="6">
        <f>AVERAGE(D2:D16)</f>
        <v/>
      </c>
    </row>
    <row r="21">
      <c r="A21" s="5" t="inlineStr">
        <is>
          <t>Average Estimated Cost</t>
        </is>
      </c>
      <c r="E21" s="7">
        <f>AVERAGE(E2:E16)</f>
        <v/>
      </c>
    </row>
    <row r="22">
      <c r="A22" s="5" t="inlineStr">
        <is>
          <t>Average Latency</t>
        </is>
      </c>
      <c r="F22" s="8">
        <f>AVERAGE(F2:F16)</f>
        <v/>
      </c>
    </row>
    <row r="23">
      <c r="A23" s="5" t="inlineStr">
        <is>
          <t>P95 Latency</t>
        </is>
      </c>
      <c r="F23" s="8">
        <f>PERCENTILE.INC(F2:F16,0.95)</f>
        <v/>
      </c>
    </row>
    <row r="24">
      <c r="A24" s="5" t="inlineStr">
        <is>
          <t>Maximum Latency</t>
        </is>
      </c>
      <c r="F24" s="8">
        <f>MAX(F2:F16)</f>
        <v/>
      </c>
    </row>
    <row r="25">
      <c r="A25" s="5" t="inlineStr">
        <is>
          <t>Minimum Latency</t>
        </is>
      </c>
      <c r="F25" s="8">
        <f>MIN(F2:F16)</f>
        <v/>
      </c>
    </row>
    <row r="26">
      <c r="A26" s="5" t="inlineStr">
        <is>
          <t>Standard Deviation Latency</t>
        </is>
      </c>
      <c r="F26" s="8">
        <f>STDEV.S(F2:F16)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9" customWidth="1" min="1" max="1"/>
    <col width="16" customWidth="1" min="2" max="2"/>
    <col width="20" customWidth="1" min="3" max="3"/>
    <col width="15" customWidth="1" min="4" max="4"/>
    <col width="25" customWidth="1" min="5" max="5"/>
    <col width="21" customWidth="1" min="6" max="6"/>
  </cols>
  <sheetData>
    <row r="1">
      <c r="A1" s="1" t="inlineStr">
        <is>
          <t>Call ID</t>
        </is>
      </c>
      <c r="B1" s="1" t="inlineStr">
        <is>
          <t>Prompt Tokens</t>
        </is>
      </c>
      <c r="C1" s="1" t="inlineStr">
        <is>
          <t>Completion Tokens</t>
        </is>
      </c>
      <c r="D1" s="1" t="inlineStr">
        <is>
          <t>Total Tokens</t>
        </is>
      </c>
      <c r="E1" s="1" t="inlineStr">
        <is>
          <t>Estimated Cost</t>
        </is>
      </c>
      <c r="F1" s="1" t="inlineStr">
        <is>
          <t>Latency</t>
        </is>
      </c>
    </row>
    <row r="2">
      <c r="A2" t="n">
        <v>1</v>
      </c>
      <c r="B2" s="2" t="n">
        <v>1941</v>
      </c>
      <c r="C2" s="2" t="n">
        <v>39</v>
      </c>
      <c r="D2" s="2" t="n">
        <v>1980</v>
      </c>
      <c r="E2" s="3" t="n">
        <v>0.0004194</v>
      </c>
      <c r="F2" s="4" t="n">
        <v>4.687418200001048</v>
      </c>
    </row>
    <row r="3">
      <c r="A3" t="n">
        <v>2</v>
      </c>
      <c r="B3" s="2" t="n">
        <v>1015</v>
      </c>
      <c r="C3" s="2" t="n">
        <v>94</v>
      </c>
      <c r="D3" s="2" t="n">
        <v>1109</v>
      </c>
      <c r="E3" s="3" t="n">
        <v>0.0002782</v>
      </c>
      <c r="F3" s="4" t="n">
        <v>4.571118500000011</v>
      </c>
    </row>
    <row r="4">
      <c r="A4" t="n">
        <v>3</v>
      </c>
      <c r="B4" s="2" t="n">
        <v>1334</v>
      </c>
      <c r="C4" s="2" t="n">
        <v>27</v>
      </c>
      <c r="D4" s="2" t="n">
        <v>1361</v>
      </c>
      <c r="E4" s="3" t="n">
        <v>0.0002884</v>
      </c>
      <c r="F4" s="4" t="n">
        <v>0.9518007999995461</v>
      </c>
    </row>
    <row r="5">
      <c r="A5" t="n">
        <v>4</v>
      </c>
      <c r="B5" s="2" t="n">
        <v>816</v>
      </c>
      <c r="C5" s="2" t="n">
        <v>28</v>
      </c>
      <c r="D5" s="2" t="n">
        <v>844</v>
      </c>
      <c r="E5" s="3" t="n">
        <v>0.0001856</v>
      </c>
      <c r="F5" s="4" t="n">
        <v>1.313694700000269</v>
      </c>
    </row>
    <row r="6">
      <c r="A6" t="n">
        <v>5</v>
      </c>
      <c r="B6" s="2" t="n">
        <v>897</v>
      </c>
      <c r="C6" s="2" t="n">
        <v>32</v>
      </c>
      <c r="D6" s="2" t="n">
        <v>929</v>
      </c>
      <c r="E6" s="3" t="n">
        <v>0.000205</v>
      </c>
      <c r="F6" s="4" t="n">
        <v>3.2265325999997</v>
      </c>
    </row>
    <row r="7">
      <c r="A7" t="n">
        <v>6</v>
      </c>
      <c r="B7" s="2" t="n">
        <v>908</v>
      </c>
      <c r="C7" s="2" t="n">
        <v>28</v>
      </c>
      <c r="D7" s="2" t="n">
        <v>936</v>
      </c>
      <c r="E7" s="3" t="n">
        <v>0.000204</v>
      </c>
      <c r="F7" s="4" t="n">
        <v>2.514667700001155</v>
      </c>
    </row>
    <row r="8">
      <c r="A8" t="n">
        <v>7</v>
      </c>
      <c r="B8" s="2" t="n">
        <v>534</v>
      </c>
      <c r="C8" s="2" t="n">
        <v>23</v>
      </c>
      <c r="D8" s="2" t="n">
        <v>557</v>
      </c>
      <c r="E8" s="3" t="n">
        <v>0.0001252</v>
      </c>
      <c r="F8" s="4" t="n">
        <v>2.706364400000894</v>
      </c>
    </row>
    <row r="9">
      <c r="A9" t="n">
        <v>8</v>
      </c>
      <c r="B9" s="2" t="n">
        <v>823</v>
      </c>
      <c r="C9" s="2" t="n">
        <v>27</v>
      </c>
      <c r="D9" s="2" t="n">
        <v>850</v>
      </c>
      <c r="E9" s="3" t="n">
        <v>0.0001862</v>
      </c>
      <c r="F9" s="4" t="n">
        <v>0.9893984000009368</v>
      </c>
    </row>
    <row r="10">
      <c r="A10" t="n">
        <v>9</v>
      </c>
      <c r="B10" s="2" t="n">
        <v>646</v>
      </c>
      <c r="C10" s="2" t="n">
        <v>30</v>
      </c>
      <c r="D10" s="2" t="n">
        <v>676</v>
      </c>
      <c r="E10" s="3" t="n">
        <v>0.0001532</v>
      </c>
      <c r="F10" s="4" t="n">
        <v>2.960312400000475</v>
      </c>
    </row>
    <row r="11">
      <c r="A11" t="n">
        <v>10</v>
      </c>
      <c r="B11" s="2" t="n">
        <v>684</v>
      </c>
      <c r="C11" s="2" t="n">
        <v>35</v>
      </c>
      <c r="D11" s="2" t="n">
        <v>719</v>
      </c>
      <c r="E11" s="3" t="n">
        <v>0.0001648</v>
      </c>
      <c r="F11" s="4" t="n">
        <v>11.457271700001</v>
      </c>
    </row>
    <row r="12">
      <c r="A12" t="n">
        <v>11</v>
      </c>
      <c r="B12" s="2" t="n">
        <v>1141</v>
      </c>
      <c r="C12" s="2" t="n">
        <v>33</v>
      </c>
      <c r="D12" s="2" t="n">
        <v>1174</v>
      </c>
      <c r="E12" s="3" t="n">
        <v>0.0002546</v>
      </c>
      <c r="F12" s="4" t="n">
        <v>1.562110599999869</v>
      </c>
    </row>
    <row r="13">
      <c r="A13" t="n">
        <v>12</v>
      </c>
      <c r="B13" s="2" t="n">
        <v>448</v>
      </c>
      <c r="C13" s="2" t="n">
        <v>26</v>
      </c>
      <c r="D13" s="2" t="n">
        <v>474</v>
      </c>
      <c r="E13" s="3" t="n">
        <v>0.0001104</v>
      </c>
      <c r="F13" s="4" t="n">
        <v>11.69074999999975</v>
      </c>
    </row>
    <row r="14">
      <c r="A14" t="n">
        <v>13</v>
      </c>
      <c r="B14" s="2" t="n">
        <v>823</v>
      </c>
      <c r="C14" s="2" t="n">
        <v>24</v>
      </c>
      <c r="D14" s="2" t="n">
        <v>847</v>
      </c>
      <c r="E14" s="3" t="n">
        <v>0.0001838</v>
      </c>
      <c r="F14" s="4" t="n">
        <v>1.89825220000057</v>
      </c>
    </row>
    <row r="15">
      <c r="A15" t="n">
        <v>14</v>
      </c>
      <c r="B15" s="2" t="n">
        <v>1310</v>
      </c>
      <c r="C15" s="2" t="n">
        <v>51</v>
      </c>
      <c r="D15" s="2" t="n">
        <v>1361</v>
      </c>
      <c r="E15" s="3" t="n">
        <v>0.0003028</v>
      </c>
      <c r="F15" s="4" t="n">
        <v>3.745436499999414</v>
      </c>
    </row>
    <row r="16">
      <c r="A16" t="n">
        <v>15</v>
      </c>
      <c r="B16" s="2" t="n">
        <v>1060</v>
      </c>
      <c r="C16" s="2" t="n">
        <v>33</v>
      </c>
      <c r="D16" s="2" t="n">
        <v>1093</v>
      </c>
      <c r="E16" s="3" t="n">
        <v>0.0002384</v>
      </c>
      <c r="F16" s="4" t="n">
        <v>3.044289500001469</v>
      </c>
    </row>
    <row r="17"/>
    <row r="18">
      <c r="A18" s="5" t="inlineStr">
        <is>
          <t>Average Prompt Tokens</t>
        </is>
      </c>
      <c r="B18" s="6">
        <f>AVERAGE(B2:B16)</f>
        <v/>
      </c>
    </row>
    <row r="19">
      <c r="A19" s="5" t="inlineStr">
        <is>
          <t>Average Completion Tokens</t>
        </is>
      </c>
      <c r="C19" s="6">
        <f>AVERAGE(C2:C16)</f>
        <v/>
      </c>
    </row>
    <row r="20">
      <c r="A20" s="5" t="inlineStr">
        <is>
          <t>Average Total Tokens</t>
        </is>
      </c>
      <c r="D20" s="6">
        <f>AVERAGE(D2:D16)</f>
        <v/>
      </c>
    </row>
    <row r="21">
      <c r="A21" s="5" t="inlineStr">
        <is>
          <t>Average Estimated Cost</t>
        </is>
      </c>
      <c r="E21" s="7">
        <f>AVERAGE(E2:E16)</f>
        <v/>
      </c>
    </row>
    <row r="22">
      <c r="A22" s="5" t="inlineStr">
        <is>
          <t>Average Latency</t>
        </is>
      </c>
      <c r="F22" s="8">
        <f>AVERAGE(F2:F16)</f>
        <v/>
      </c>
    </row>
    <row r="23">
      <c r="A23" s="5" t="inlineStr">
        <is>
          <t>P95 Latency</t>
        </is>
      </c>
      <c r="F23" s="8">
        <f>PERCENTILE.INC(F2:F16,0.95)</f>
        <v/>
      </c>
    </row>
    <row r="24">
      <c r="A24" s="5" t="inlineStr">
        <is>
          <t>Maximum Latency</t>
        </is>
      </c>
      <c r="F24" s="8">
        <f>MAX(F2:F16)</f>
        <v/>
      </c>
    </row>
    <row r="25">
      <c r="A25" s="5" t="inlineStr">
        <is>
          <t>Minimum Latency</t>
        </is>
      </c>
      <c r="F25" s="8">
        <f>MIN(F2:F16)</f>
        <v/>
      </c>
    </row>
    <row r="26">
      <c r="A26" s="5" t="inlineStr">
        <is>
          <t>Standard Deviation Latency</t>
        </is>
      </c>
      <c r="F26" s="8">
        <f>STDEV.S(F2:F16)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2026-07-20T07:50:36Z</dcterms:created>
  <dcterms:modified xsi:type="dcterms:W3CDTF">2026-07-20T07:50:36Z</dcterms:modified>
</cp:coreProperties>
</file>